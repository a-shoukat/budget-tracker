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ict malika\"/>
    </mc:Choice>
  </mc:AlternateContent>
  <bookViews>
    <workbookView xWindow="0" yWindow="0" windowWidth="19200" windowHeight="664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M119" i="1" l="1"/>
  <c r="L119" i="1"/>
  <c r="K119" i="1"/>
  <c r="J119" i="1"/>
  <c r="I119" i="1"/>
  <c r="H119" i="1"/>
  <c r="G119" i="1"/>
  <c r="F119" i="1"/>
  <c r="E119" i="1"/>
  <c r="D119" i="1"/>
  <c r="C119" i="1"/>
  <c r="B119" i="1"/>
  <c r="A119" i="1"/>
  <c r="N118" i="1"/>
  <c r="O118" i="1" s="1"/>
  <c r="N117" i="1"/>
  <c r="O117" i="1" s="1"/>
  <c r="N116" i="1"/>
  <c r="O116" i="1" s="1"/>
  <c r="N115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N111" i="1"/>
  <c r="O111" i="1" s="1"/>
  <c r="N110" i="1"/>
  <c r="O110" i="1" s="1"/>
  <c r="N109" i="1"/>
  <c r="O109" i="1" s="1"/>
  <c r="N108" i="1"/>
  <c r="N112" i="1" s="1"/>
  <c r="O112" i="1" s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N104" i="1"/>
  <c r="O104" i="1" s="1"/>
  <c r="N103" i="1"/>
  <c r="O103" i="1" s="1"/>
  <c r="N102" i="1"/>
  <c r="O102" i="1" s="1"/>
  <c r="N101" i="1"/>
  <c r="O101" i="1" s="1"/>
  <c r="N100" i="1"/>
  <c r="O100" i="1" s="1"/>
  <c r="N99" i="1"/>
  <c r="O99" i="1" s="1"/>
  <c r="N98" i="1"/>
  <c r="N105" i="1" s="1"/>
  <c r="O105" i="1" s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N94" i="1"/>
  <c r="O94" i="1" s="1"/>
  <c r="N93" i="1"/>
  <c r="O93" i="1" s="1"/>
  <c r="N92" i="1"/>
  <c r="O92" i="1" s="1"/>
  <c r="N91" i="1"/>
  <c r="O91" i="1" s="1"/>
  <c r="N90" i="1"/>
  <c r="O90" i="1" s="1"/>
  <c r="N89" i="1"/>
  <c r="N86" i="1"/>
  <c r="O86" i="1" s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N85" i="1"/>
  <c r="O85" i="1" s="1"/>
  <c r="O84" i="1"/>
  <c r="N84" i="1"/>
  <c r="N83" i="1"/>
  <c r="O83" i="1" s="1"/>
  <c r="O82" i="1"/>
  <c r="N82" i="1"/>
  <c r="N81" i="1"/>
  <c r="O81" i="1" s="1"/>
  <c r="O80" i="1"/>
  <c r="N80" i="1"/>
  <c r="N79" i="1"/>
  <c r="O79" i="1" s="1"/>
  <c r="O78" i="1"/>
  <c r="N78" i="1"/>
  <c r="N77" i="1"/>
  <c r="O77" i="1" s="1"/>
  <c r="O76" i="1"/>
  <c r="N76" i="1"/>
  <c r="N75" i="1"/>
  <c r="O75" i="1" s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N71" i="1"/>
  <c r="O71" i="1" s="1"/>
  <c r="N70" i="1"/>
  <c r="O70" i="1" s="1"/>
  <c r="N69" i="1"/>
  <c r="O69" i="1" s="1"/>
  <c r="N68" i="1"/>
  <c r="O68" i="1" s="1"/>
  <c r="N67" i="1"/>
  <c r="O67" i="1" s="1"/>
  <c r="N66" i="1"/>
  <c r="O66" i="1" s="1"/>
  <c r="N65" i="1"/>
  <c r="O65" i="1" s="1"/>
  <c r="N64" i="1"/>
  <c r="O64" i="1" s="1"/>
  <c r="N63" i="1"/>
  <c r="M60" i="1"/>
  <c r="L60" i="1"/>
  <c r="L5" i="1" s="1"/>
  <c r="K60" i="1"/>
  <c r="J60" i="1"/>
  <c r="I60" i="1"/>
  <c r="H60" i="1"/>
  <c r="G60" i="1"/>
  <c r="F60" i="1"/>
  <c r="E60" i="1"/>
  <c r="D60" i="1"/>
  <c r="C60" i="1"/>
  <c r="B60" i="1"/>
  <c r="A60" i="1"/>
  <c r="O59" i="1"/>
  <c r="N59" i="1"/>
  <c r="N58" i="1"/>
  <c r="O58" i="1" s="1"/>
  <c r="O57" i="1"/>
  <c r="N57" i="1"/>
  <c r="N56" i="1"/>
  <c r="N60" i="1" s="1"/>
  <c r="O60" i="1" s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N52" i="1"/>
  <c r="O52" i="1" s="1"/>
  <c r="N51" i="1"/>
  <c r="O51" i="1" s="1"/>
  <c r="N50" i="1"/>
  <c r="O50" i="1" s="1"/>
  <c r="N49" i="1"/>
  <c r="O49" i="1" s="1"/>
  <c r="N48" i="1"/>
  <c r="O48" i="1" s="1"/>
  <c r="N47" i="1"/>
  <c r="O47" i="1" s="1"/>
  <c r="N46" i="1"/>
  <c r="N43" i="1"/>
  <c r="O43" i="1" s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N42" i="1"/>
  <c r="O42" i="1" s="1"/>
  <c r="O41" i="1"/>
  <c r="N41" i="1"/>
  <c r="N40" i="1"/>
  <c r="O40" i="1" s="1"/>
  <c r="O39" i="1"/>
  <c r="N39" i="1"/>
  <c r="N38" i="1"/>
  <c r="O38" i="1" s="1"/>
  <c r="O37" i="1"/>
  <c r="N37" i="1"/>
  <c r="N36" i="1"/>
  <c r="O36" i="1" s="1"/>
  <c r="M33" i="1"/>
  <c r="M5" i="1" s="1"/>
  <c r="L33" i="1"/>
  <c r="K33" i="1"/>
  <c r="J33" i="1"/>
  <c r="I33" i="1"/>
  <c r="H33" i="1"/>
  <c r="G33" i="1"/>
  <c r="G5" i="1" s="1"/>
  <c r="F33" i="1"/>
  <c r="F5" i="1" s="1"/>
  <c r="E33" i="1"/>
  <c r="E5" i="1" s="1"/>
  <c r="D33" i="1"/>
  <c r="C33" i="1"/>
  <c r="C5" i="1" s="1"/>
  <c r="B33" i="1"/>
  <c r="A33" i="1"/>
  <c r="N32" i="1"/>
  <c r="O32" i="1" s="1"/>
  <c r="N31" i="1"/>
  <c r="O31" i="1" s="1"/>
  <c r="N30" i="1"/>
  <c r="O30" i="1" s="1"/>
  <c r="N29" i="1"/>
  <c r="O29" i="1" s="1"/>
  <c r="N28" i="1"/>
  <c r="O28" i="1" s="1"/>
  <c r="N27" i="1"/>
  <c r="O27" i="1" s="1"/>
  <c r="N26" i="1"/>
  <c r="O26" i="1" s="1"/>
  <c r="N25" i="1"/>
  <c r="O25" i="1" s="1"/>
  <c r="N24" i="1"/>
  <c r="O24" i="1" s="1"/>
  <c r="N23" i="1"/>
  <c r="O23" i="1" s="1"/>
  <c r="N22" i="1"/>
  <c r="O22" i="1" s="1"/>
  <c r="N21" i="1"/>
  <c r="O21" i="1" s="1"/>
  <c r="N20" i="1"/>
  <c r="O20" i="1" s="1"/>
  <c r="M17" i="1"/>
  <c r="M4" i="1" s="1"/>
  <c r="L17" i="1"/>
  <c r="L4" i="1" s="1"/>
  <c r="L6" i="1" s="1"/>
  <c r="K17" i="1"/>
  <c r="K4" i="1" s="1"/>
  <c r="J17" i="1"/>
  <c r="J4" i="1" s="1"/>
  <c r="I17" i="1"/>
  <c r="H17" i="1"/>
  <c r="H4" i="1" s="1"/>
  <c r="G17" i="1"/>
  <c r="F17" i="1"/>
  <c r="F4" i="1" s="1"/>
  <c r="E17" i="1"/>
  <c r="E4" i="1" s="1"/>
  <c r="E6" i="1" s="1"/>
  <c r="D17" i="1"/>
  <c r="D4" i="1" s="1"/>
  <c r="D6" i="1" s="1"/>
  <c r="C17" i="1"/>
  <c r="C4" i="1" s="1"/>
  <c r="B17" i="1"/>
  <c r="B4" i="1" s="1"/>
  <c r="A17" i="1"/>
  <c r="N16" i="1"/>
  <c r="O16" i="1" s="1"/>
  <c r="N15" i="1"/>
  <c r="O15" i="1" s="1"/>
  <c r="N14" i="1"/>
  <c r="O14" i="1" s="1"/>
  <c r="N13" i="1"/>
  <c r="O13" i="1" s="1"/>
  <c r="N12" i="1"/>
  <c r="O12" i="1" s="1"/>
  <c r="N11" i="1"/>
  <c r="O11" i="1" s="1"/>
  <c r="N10" i="1"/>
  <c r="O10" i="1" s="1"/>
  <c r="I5" i="1"/>
  <c r="D5" i="1"/>
  <c r="I4" i="1"/>
  <c r="G4" i="1"/>
  <c r="G6" i="1" l="1"/>
  <c r="C6" i="1"/>
  <c r="I6" i="1"/>
  <c r="B5" i="1"/>
  <c r="B6" i="1" s="1"/>
  <c r="J5" i="1"/>
  <c r="N53" i="1"/>
  <c r="O53" i="1" s="1"/>
  <c r="N95" i="1"/>
  <c r="O95" i="1" s="1"/>
  <c r="O98" i="1"/>
  <c r="N119" i="1"/>
  <c r="O119" i="1" s="1"/>
  <c r="M6" i="1"/>
  <c r="K5" i="1"/>
  <c r="K6" i="1" s="1"/>
  <c r="O56" i="1"/>
  <c r="F6" i="1"/>
  <c r="H5" i="1"/>
  <c r="H6" i="1" s="1"/>
  <c r="N72" i="1"/>
  <c r="O72" i="1" s="1"/>
  <c r="J6" i="1"/>
  <c r="N17" i="1"/>
  <c r="O17" i="1" s="1"/>
  <c r="N4" i="1"/>
  <c r="O4" i="1" s="1"/>
  <c r="N33" i="1"/>
  <c r="O33" i="1" s="1"/>
  <c r="O46" i="1"/>
  <c r="O63" i="1"/>
  <c r="O115" i="1"/>
  <c r="O89" i="1"/>
  <c r="O108" i="1"/>
  <c r="B7" i="1" l="1"/>
  <c r="C7" i="1" s="1"/>
  <c r="D7" i="1" s="1"/>
  <c r="E7" i="1" s="1"/>
  <c r="F7" i="1" s="1"/>
  <c r="G7" i="1" s="1"/>
  <c r="H7" i="1" s="1"/>
  <c r="I7" i="1" s="1"/>
  <c r="J7" i="1" s="1"/>
  <c r="K7" i="1" s="1"/>
  <c r="L7" i="1" s="1"/>
  <c r="M7" i="1" s="1"/>
  <c r="N5" i="1"/>
  <c r="O5" i="1" s="1"/>
  <c r="N6" i="1"/>
  <c r="O6" i="1" s="1"/>
</calcChain>
</file>

<file path=xl/comments1.xml><?xml version="1.0" encoding="utf-8"?>
<comments xmlns="http://schemas.openxmlformats.org/spreadsheetml/2006/main">
  <authors>
    <author>Jon</author>
  </authors>
  <commentList>
    <comment ref="A6" authorId="0" shapeId="0">
      <text>
        <r>
          <rPr>
            <b/>
            <sz val="8"/>
            <color indexed="81"/>
            <rFont val="Tahoma"/>
            <family val="2"/>
          </rPr>
          <t>NET</t>
        </r>
        <r>
          <rPr>
            <sz val="8"/>
            <color indexed="81"/>
            <rFont val="Tahoma"/>
            <family val="2"/>
          </rPr>
          <t>:
Income - Expenses</t>
        </r>
      </text>
    </comment>
  </commentList>
</comments>
</file>

<file path=xl/sharedStrings.xml><?xml version="1.0" encoding="utf-8"?>
<sst xmlns="http://schemas.openxmlformats.org/spreadsheetml/2006/main" count="265" uniqueCount="100">
  <si>
    <t>Starting Balance</t>
  </si>
  <si>
    <t>[42]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</si>
  <si>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</si>
  <si>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</si>
  <si>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</si>
  <si>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</si>
  <si>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</si>
  <si>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</si>
  <si>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</si>
  <si>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</si>
  <si>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</si>
  <si>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</si>
  <si>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</si>
  <si>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</si>
  <si>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</si>
  <si>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Avg</t>
  </si>
  <si>
    <t>Total Income</t>
  </si>
  <si>
    <t>Total Expenses</t>
  </si>
  <si>
    <t>NET</t>
  </si>
  <si>
    <t>Projected End Balance</t>
  </si>
  <si>
    <t>INCOME</t>
  </si>
  <si>
    <t>Wages &amp; Tips</t>
  </si>
  <si>
    <t>Interest Income</t>
  </si>
  <si>
    <t>Dividends</t>
  </si>
  <si>
    <t>Gifts Received</t>
  </si>
  <si>
    <t>Refunds/Reimbursements</t>
  </si>
  <si>
    <t>Transfer From Savings</t>
  </si>
  <si>
    <t>Other</t>
  </si>
  <si>
    <t>HOME EXPENSES</t>
  </si>
  <si>
    <t>Mortgage/Rent</t>
  </si>
  <si>
    <t>Electricity</t>
  </si>
  <si>
    <t>Gas/Oil</t>
  </si>
  <si>
    <t>Water/Sewer/Trash</t>
  </si>
  <si>
    <t>Phone</t>
  </si>
  <si>
    <t>Cable/Satellite</t>
  </si>
  <si>
    <t>Internet</t>
  </si>
  <si>
    <t>Furnishings/Appliances</t>
  </si>
  <si>
    <t>Lawn/Garden</t>
  </si>
  <si>
    <t>Maintenance/Supplies</t>
  </si>
  <si>
    <t>Improvements</t>
  </si>
  <si>
    <t>TRANSPORTATION</t>
  </si>
  <si>
    <t>Vehicle Payments</t>
  </si>
  <si>
    <t>Auto Insurance</t>
  </si>
  <si>
    <t>Fuel</t>
  </si>
  <si>
    <t>Bus/Taxi/Train Fare</t>
  </si>
  <si>
    <t>Repairs</t>
  </si>
  <si>
    <t>Registration/License</t>
  </si>
  <si>
    <t>HEALTH</t>
  </si>
  <si>
    <t>Health Insurance</t>
  </si>
  <si>
    <t>Doctor/Dentist</t>
  </si>
  <si>
    <t>Medicine/Drugs</t>
  </si>
  <si>
    <t>Health Club Dues</t>
  </si>
  <si>
    <t>Life Insurance</t>
  </si>
  <si>
    <t>Veterinarian/Pet Care</t>
  </si>
  <si>
    <t>CHARITY/GIFTS</t>
  </si>
  <si>
    <t>Gifts Given</t>
  </si>
  <si>
    <t>Charitable Donations</t>
  </si>
  <si>
    <t>Religious Donations</t>
  </si>
  <si>
    <t>DAILY LIVING</t>
  </si>
  <si>
    <t>Groceries</t>
  </si>
  <si>
    <t>Personal Supplies</t>
  </si>
  <si>
    <t>Clothing</t>
  </si>
  <si>
    <t>Cleaning</t>
  </si>
  <si>
    <t>Education/Lessons</t>
  </si>
  <si>
    <t>Dining/Eating Out</t>
  </si>
  <si>
    <t>Salon/Barber</t>
  </si>
  <si>
    <t>Pet Food</t>
  </si>
  <si>
    <t>ENTERTAINMENT</t>
  </si>
  <si>
    <t>Activities</t>
  </si>
  <si>
    <t>Books</t>
  </si>
  <si>
    <t>Games</t>
  </si>
  <si>
    <t>Fun Stuff</t>
  </si>
  <si>
    <t>Hobbies</t>
  </si>
  <si>
    <t>Media</t>
  </si>
  <si>
    <t>Outdoor Recreation</t>
  </si>
  <si>
    <t>Sports</t>
  </si>
  <si>
    <t>Toys/Gadgets</t>
  </si>
  <si>
    <t>Vacation/Travel</t>
  </si>
  <si>
    <t>SAVINGS</t>
  </si>
  <si>
    <t>Emergency Fund</t>
  </si>
  <si>
    <t>Car Replacement</t>
  </si>
  <si>
    <t>Retirement Fund</t>
  </si>
  <si>
    <t>Investments</t>
  </si>
  <si>
    <t>Education Fund</t>
  </si>
  <si>
    <t>OBLIGATIONS</t>
  </si>
  <si>
    <t>Student Loans</t>
  </si>
  <si>
    <t>Credit Card Debt</t>
  </si>
  <si>
    <t>Other Loans</t>
  </si>
  <si>
    <t>Alimony/Child Support</t>
  </si>
  <si>
    <t>Federal Taxes</t>
  </si>
  <si>
    <t>State/Local Taxes</t>
  </si>
  <si>
    <t>SUBSCRIPTIONS</t>
  </si>
  <si>
    <t>Newspaper</t>
  </si>
  <si>
    <t>Magazines</t>
  </si>
  <si>
    <t>Dues/Memberships</t>
  </si>
  <si>
    <t>MISCELLANEOUS</t>
  </si>
  <si>
    <t>Bank Fees</t>
  </si>
  <si>
    <t>Postage</t>
  </si>
  <si>
    <t>Budget and Expence Tracker</t>
  </si>
  <si>
    <t>Rental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</si>
</sst>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[Red]\-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2"/>
      <color indexed="9"/>
      <name val="Calibri"/>
      <family val="2"/>
      <scheme val="minor"/>
    </font>
    <font>
      <b/>
      <sz val="10"/>
      <name val="Cambria"/>
      <family val="2"/>
      <scheme val="major"/>
    </font>
    <font>
      <b/>
      <sz val="8"/>
      <name val="Cambria"/>
      <family val="2"/>
      <scheme val="major"/>
    </font>
    <font>
      <b/>
      <sz val="10"/>
      <name val="Cambria"/>
      <family val="1"/>
      <scheme val="maj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mbria"/>
      <family val="2"/>
      <scheme val="major"/>
    </font>
    <font>
      <b/>
      <sz val="12"/>
      <name val="Cambria"/>
      <family val="1"/>
      <scheme val="major"/>
    </font>
    <font>
      <b/>
      <sz val="26"/>
      <color theme="4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6" fillId="2" borderId="0" xfId="0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right" vertical="center"/>
    </xf>
    <xf numFmtId="3" fontId="9" fillId="0" borderId="4" xfId="1" applyNumberFormat="1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vertical="center"/>
    </xf>
    <xf numFmtId="3" fontId="9" fillId="0" borderId="0" xfId="0" applyNumberFormat="1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/>
    </xf>
    <xf numFmtId="0" fontId="14" fillId="0" borderId="0" xfId="0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right" vertical="center"/>
    </xf>
    <xf numFmtId="0" fontId="14" fillId="2" borderId="3" xfId="0" applyFont="1" applyFill="1" applyBorder="1" applyAlignment="1">
      <alignment horizontal="right" vertical="center"/>
    </xf>
    <xf numFmtId="0" fontId="16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 shrinkToFit="1"/>
    </xf>
    <xf numFmtId="0" fontId="14" fillId="0" borderId="0" xfId="0" applyFont="1" applyAlignment="1">
      <alignment vertical="center"/>
    </xf>
    <xf numFmtId="0" fontId="14" fillId="0" borderId="0" xfId="0" applyFont="1" applyFill="1" applyBorder="1" applyAlignment="1">
      <alignment horizontal="right" vertical="center" shrinkToFit="1"/>
    </xf>
    <xf numFmtId="0" fontId="14" fillId="0" borderId="0" xfId="0" applyFont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3" fontId="3" fillId="0" borderId="1" xfId="1" applyNumberFormat="1" applyFont="1" applyFill="1" applyBorder="1" applyAlignment="1">
      <alignment vertical="center"/>
    </xf>
    <xf numFmtId="3" fontId="9" fillId="2" borderId="0" xfId="2" applyNumberFormat="1" applyFont="1" applyFill="1" applyBorder="1" applyAlignment="1">
      <alignment horizontal="right" vertical="center"/>
    </xf>
    <xf numFmtId="3" fontId="9" fillId="2" borderId="0" xfId="0" applyNumberFormat="1" applyFont="1" applyFill="1" applyAlignment="1">
      <alignment vertical="center"/>
    </xf>
    <xf numFmtId="3" fontId="9" fillId="2" borderId="2" xfId="2" applyNumberFormat="1" applyFont="1" applyFill="1" applyBorder="1" applyAlignment="1">
      <alignment horizontal="right" vertical="center"/>
    </xf>
    <xf numFmtId="164" fontId="9" fillId="2" borderId="3" xfId="2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</cellXfs>
  <cellStyles count="3">
    <cellStyle name="Comma" xfId="1" builtinId="3"/>
    <cellStyle name="Currency" xfId="2" builtinId="4"/>
    <cellStyle name="Normal" xfId="0" builtinId="0"/>
  </cellStyles>
  <dxfs count="37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maj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maj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maj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maj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maj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maj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maj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maj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border outline="0">
        <top style="thin">
          <color indexed="5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border outline="0">
        <bottom style="medium">
          <color indexed="2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maj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maj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wrapText="0" indent="0" justifyLastLine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scheme val="maj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6" tint="0.79998168889431442"/>
        </patternFill>
      </fill>
    </dxf>
    <dxf>
      <font>
        <b/>
        <color theme="1"/>
      </font>
    </dxf>
    <dxf>
      <font>
        <color theme="1"/>
      </font>
      <fill>
        <patternFill patternType="none">
          <bgColor auto="1"/>
        </patternFill>
      </fill>
    </dxf>
    <dxf>
      <font>
        <b/>
        <color theme="1"/>
      </font>
      <fill>
        <patternFill>
          <bgColor theme="0" tint="-4.9989318521683403E-2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auto="1"/>
          <bgColor theme="6" tint="-0.24994659260841701"/>
        </patternFill>
      </fill>
      <border>
        <bottom style="thin">
          <color theme="0" tint="-0.24994659260841701"/>
        </bottom>
      </border>
    </dxf>
    <dxf>
      <font>
        <color theme="1"/>
      </font>
      <border>
        <vertical/>
      </border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b/>
        <color theme="1"/>
      </font>
    </dxf>
    <dxf>
      <font>
        <color theme="1"/>
      </font>
      <fill>
        <patternFill patternType="none">
          <bgColor auto="1"/>
        </patternFill>
      </fill>
    </dxf>
    <dxf>
      <font>
        <b/>
        <color theme="1"/>
      </font>
      <fill>
        <patternFill>
          <bgColor theme="0" tint="-4.9989318521683403E-2"/>
        </patternFill>
      </fill>
      <border>
        <top style="double">
          <color theme="4"/>
        </top>
      </border>
    </dxf>
    <dxf>
      <font>
        <b/>
        <color theme="0"/>
      </font>
      <fill>
        <patternFill patternType="solid">
          <fgColor auto="1"/>
          <bgColor theme="4" tint="-0.24994659260841701"/>
        </patternFill>
      </fill>
      <border>
        <bottom style="thin">
          <color theme="0" tint="-0.24994659260841701"/>
        </bottom>
      </border>
    </dxf>
    <dxf>
      <font>
        <color theme="1"/>
      </font>
      <border>
        <vertical/>
      </border>
    </dxf>
  </dxfs>
  <tableStyles count="2" defaultTableStyle="TableStyleMedium2" defaultPivotStyle="PivotStyleLight16">
    <tableStyle name="V42_ExpenseCategory2" pivot="0" count="7">
      <tableStyleElement type="wholeTable" dxfId="372"/>
      <tableStyleElement type="headerRow" dxfId="371"/>
      <tableStyleElement type="totalRow" dxfId="370"/>
      <tableStyleElement type="firstColumn" dxfId="369"/>
      <tableStyleElement type="lastColumn" dxfId="368"/>
      <tableStyleElement type="firstColumnStripe" dxfId="367"/>
      <tableStyleElement type="secondColumnStripe" dxfId="366"/>
    </tableStyle>
    <tableStyle name="V42_IncomeCategory2" pivot="0" count="7">
      <tableStyleElement type="wholeTable" dxfId="365"/>
      <tableStyleElement type="headerRow" dxfId="364"/>
      <tableStyleElement type="totalRow" dxfId="363"/>
      <tableStyleElement type="firstColumn" dxfId="362"/>
      <tableStyleElement type="lastColumn" dxfId="361"/>
      <tableStyleElement type="firstColumnStripe" dxfId="360"/>
      <tableStyleElement type="secondColumnStripe" dxfId="35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687545766669431"/>
          <c:y val="5.0909534679010909E-2"/>
          <c:w val="0.78296603422310651"/>
          <c:h val="0.89818093064197813"/>
        </c:manualLayout>
      </c:layout>
      <c:lineChart>
        <c:grouping val="stack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Total Income</c:v>
                </c:pt>
              </c:strCache>
            </c:strRef>
          </c:tx>
          <c:marker>
            <c:symbol val="none"/>
          </c:marker>
          <c:cat>
            <c:strRef>
              <c:f>Sheet1!$B$3:$P$3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</c:v>
                </c:pt>
                <c:pt idx="13">
                  <c:v>Avg</c:v>
                </c:pt>
              </c:strCache>
            </c:strRef>
          </c:cat>
          <c:val>
            <c:numRef>
              <c:f>Sheet1!$B$4:$P$4</c:f>
              <c:numCache>
                <c:formatCode>#,##0</c:formatCode>
                <c:ptCount val="15"/>
                <c:pt idx="0">
                  <c:v>0</c:v>
                </c:pt>
                <c:pt idx="1">
                  <c:v>677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677</c:v>
                </c:pt>
                <c:pt idx="13">
                  <c:v>56.416666666666664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3D-425B-9B8C-658AFF0AE4D3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Total Expenses</c:v>
                </c:pt>
              </c:strCache>
            </c:strRef>
          </c:tx>
          <c:marker>
            <c:symbol val="none"/>
          </c:marker>
          <c:cat>
            <c:strRef>
              <c:f>Sheet1!$B$3:$P$3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</c:v>
                </c:pt>
                <c:pt idx="13">
                  <c:v>Avg</c:v>
                </c:pt>
              </c:strCache>
            </c:strRef>
          </c:cat>
          <c:val>
            <c:numRef>
              <c:f>Sheet1!$B$5:$P$5</c:f>
              <c:numCache>
                <c:formatCode>#,##0</c:formatCode>
                <c:ptCount val="15"/>
                <c:pt idx="0">
                  <c:v>12810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9438</c:v>
                </c:pt>
                <c:pt idx="7">
                  <c:v>0</c:v>
                </c:pt>
                <c:pt idx="8">
                  <c:v>85050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107298</c:v>
                </c:pt>
                <c:pt idx="13">
                  <c:v>8941.5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3D-425B-9B8C-658AFF0AE4D3}"/>
            </c:ext>
          </c:extLst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NET</c:v>
                </c:pt>
              </c:strCache>
            </c:strRef>
          </c:tx>
          <c:marker>
            <c:symbol val="none"/>
          </c:marker>
          <c:cat>
            <c:strRef>
              <c:f>Sheet1!$B$3:$P$3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</c:v>
                </c:pt>
                <c:pt idx="13">
                  <c:v>Avg</c:v>
                </c:pt>
              </c:strCache>
            </c:strRef>
          </c:cat>
          <c:val>
            <c:numRef>
              <c:f>Sheet1!$B$6:$P$6</c:f>
              <c:numCache>
                <c:formatCode>#,##0;[Red]\-#,##0</c:formatCode>
                <c:ptCount val="15"/>
                <c:pt idx="0">
                  <c:v>-12810</c:v>
                </c:pt>
                <c:pt idx="1">
                  <c:v>677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-9438</c:v>
                </c:pt>
                <c:pt idx="7">
                  <c:v>0</c:v>
                </c:pt>
                <c:pt idx="8">
                  <c:v>-85050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-106621</c:v>
                </c:pt>
                <c:pt idx="13">
                  <c:v>-8885.0833333333339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3D-425B-9B8C-658AFF0AE4D3}"/>
            </c:ext>
          </c:extLst>
        </c:ser>
        <c:ser>
          <c:idx val="3"/>
          <c:order val="3"/>
          <c:tx>
            <c:strRef>
              <c:f>Sheet1!$A$7</c:f>
              <c:strCache>
                <c:ptCount val="1"/>
                <c:pt idx="0">
                  <c:v>Projected End Balance</c:v>
                </c:pt>
              </c:strCache>
            </c:strRef>
          </c:tx>
          <c:marker>
            <c:symbol val="none"/>
          </c:marker>
          <c:cat>
            <c:strRef>
              <c:f>Sheet1!$B$3:$P$3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</c:v>
                </c:pt>
                <c:pt idx="13">
                  <c:v>Avg</c:v>
                </c:pt>
              </c:strCache>
            </c:strRef>
          </c:cat>
          <c:val>
            <c:numRef>
              <c:f>Sheet1!$B$7:$P$7</c:f>
              <c:numCache>
                <c:formatCode>#,##0</c:formatCode>
                <c:ptCount val="15"/>
                <c:pt idx="0">
                  <c:v>-11810</c:v>
                </c:pt>
                <c:pt idx="1">
                  <c:v>-11133</c:v>
                </c:pt>
                <c:pt idx="2">
                  <c:v>-11133</c:v>
                </c:pt>
                <c:pt idx="3">
                  <c:v>-11133</c:v>
                </c:pt>
                <c:pt idx="4">
                  <c:v>-11133</c:v>
                </c:pt>
                <c:pt idx="5">
                  <c:v>-11133</c:v>
                </c:pt>
                <c:pt idx="6">
                  <c:v>-20571</c:v>
                </c:pt>
                <c:pt idx="7">
                  <c:v>-20571</c:v>
                </c:pt>
                <c:pt idx="8">
                  <c:v>-105621</c:v>
                </c:pt>
                <c:pt idx="9">
                  <c:v>-105621</c:v>
                </c:pt>
                <c:pt idx="10">
                  <c:v>-105621</c:v>
                </c:pt>
                <c:pt idx="11">
                  <c:v>-105621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3D-425B-9B8C-658AFF0AE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80256"/>
        <c:axId val="140082176"/>
      </c:lineChart>
      <c:catAx>
        <c:axId val="140080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40082176"/>
        <c:crosses val="autoZero"/>
        <c:auto val="1"/>
        <c:lblAlgn val="ctr"/>
        <c:lblOffset val="100"/>
        <c:noMultiLvlLbl val="0"/>
      </c:catAx>
      <c:valAx>
        <c:axId val="1400821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total expenses</a:t>
                </a:r>
              </a:p>
              <a:p>
                <a:pPr>
                  <a:defRPr sz="1600"/>
                </a:pPr>
                <a:endParaRPr lang="en-US" sz="1600"/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crossAx val="140080256"/>
        <c:crosses val="autoZero"/>
        <c:crossBetween val="between"/>
      </c:valAx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25663444002321"/>
          <c:y val="9.1358953645042408E-3"/>
          <c:w val="0.81941227824753382"/>
          <c:h val="0.7384544223128778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Total Income</c:v>
                </c:pt>
              </c:strCache>
            </c:strRef>
          </c:tx>
          <c:invertIfNegative val="0"/>
          <c:cat>
            <c:strRef>
              <c:f>Sheet1!$B$3:$O$3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</c:v>
                </c:pt>
                <c:pt idx="13">
                  <c:v>Avg</c:v>
                </c:pt>
              </c:strCache>
            </c:strRef>
          </c:cat>
          <c:val>
            <c:numRef>
              <c:f>Sheet1!$B$4:$O$4</c:f>
              <c:numCache>
                <c:formatCode>#,##0</c:formatCode>
                <c:ptCount val="14"/>
                <c:pt idx="0">
                  <c:v>0</c:v>
                </c:pt>
                <c:pt idx="1">
                  <c:v>677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677</c:v>
                </c:pt>
                <c:pt idx="13">
                  <c:v>56.416666666666664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0-48AC-879E-2B72905D2922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Total Expenses</c:v>
                </c:pt>
              </c:strCache>
            </c:strRef>
          </c:tx>
          <c:invertIfNegative val="0"/>
          <c:cat>
            <c:strRef>
              <c:f>Sheet1!$B$3:$O$3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</c:v>
                </c:pt>
                <c:pt idx="13">
                  <c:v>Avg</c:v>
                </c:pt>
              </c:strCache>
            </c:strRef>
          </c:cat>
          <c:val>
            <c:numRef>
              <c:f>Sheet1!$B$5:$O$5</c:f>
              <c:numCache>
                <c:formatCode>#,##0</c:formatCode>
                <c:ptCount val="14"/>
                <c:pt idx="0">
                  <c:v>12810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9438</c:v>
                </c:pt>
                <c:pt idx="7">
                  <c:v>0</c:v>
                </c:pt>
                <c:pt idx="8">
                  <c:v>85050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107298</c:v>
                </c:pt>
                <c:pt idx="13">
                  <c:v>8941.5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40-48AC-879E-2B72905D2922}"/>
            </c:ext>
          </c:extLst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NET</c:v>
                </c:pt>
              </c:strCache>
            </c:strRef>
          </c:tx>
          <c:invertIfNegative val="0"/>
          <c:cat>
            <c:strRef>
              <c:f>Sheet1!$B$3:$O$3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</c:v>
                </c:pt>
                <c:pt idx="13">
                  <c:v>Avg</c:v>
                </c:pt>
              </c:strCache>
            </c:strRef>
          </c:cat>
          <c:val>
            <c:numRef>
              <c:f>Sheet1!$B$6:$O$6</c:f>
              <c:numCache>
                <c:formatCode>#,##0;[Red]\-#,##0</c:formatCode>
                <c:ptCount val="14"/>
                <c:pt idx="0">
                  <c:v>-12810</c:v>
                </c:pt>
                <c:pt idx="1">
                  <c:v>677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-9438</c:v>
                </c:pt>
                <c:pt idx="7">
                  <c:v>0</c:v>
                </c:pt>
                <c:pt idx="8">
                  <c:v>-85050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-106621</c:v>
                </c:pt>
                <c:pt idx="13">
                  <c:v>-8885.0833333333339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40-48AC-879E-2B72905D2922}"/>
            </c:ext>
          </c:extLst>
        </c:ser>
        <c:ser>
          <c:idx val="3"/>
          <c:order val="3"/>
          <c:tx>
            <c:strRef>
              <c:f>Sheet1!$A$7</c:f>
              <c:strCache>
                <c:ptCount val="1"/>
                <c:pt idx="0">
                  <c:v>Projected End Balance</c:v>
                </c:pt>
              </c:strCache>
            </c:strRef>
          </c:tx>
          <c:invertIfNegative val="0"/>
          <c:cat>
            <c:strRef>
              <c:f>Sheet1!$B$3:$O$3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</c:v>
                </c:pt>
                <c:pt idx="13">
                  <c:v>Avg</c:v>
                </c:pt>
              </c:strCache>
            </c:strRef>
          </c:cat>
          <c:val>
            <c:numRef>
              <c:f>Sheet1!$B$7:$O$7</c:f>
              <c:numCache>
                <c:formatCode>#,##0</c:formatCode>
                <c:ptCount val="14"/>
                <c:pt idx="0">
                  <c:v>-11810</c:v>
                </c:pt>
                <c:pt idx="1">
                  <c:v>-11133</c:v>
                </c:pt>
                <c:pt idx="2">
                  <c:v>-11133</c:v>
                </c:pt>
                <c:pt idx="3">
                  <c:v>-11133</c:v>
                </c:pt>
                <c:pt idx="4">
                  <c:v>-11133</c:v>
                </c:pt>
                <c:pt idx="5">
                  <c:v>-11133</c:v>
                </c:pt>
                <c:pt idx="6">
                  <c:v>-20571</c:v>
                </c:pt>
                <c:pt idx="7">
                  <c:v>-20571</c:v>
                </c:pt>
                <c:pt idx="8">
                  <c:v>-105621</c:v>
                </c:pt>
                <c:pt idx="9">
                  <c:v>-105621</c:v>
                </c:pt>
                <c:pt idx="10">
                  <c:v>-105621</c:v>
                </c:pt>
                <c:pt idx="11">
                  <c:v>-105621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40-48AC-879E-2B72905D2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shape val="box"/>
        <c:axId val="140219136"/>
        <c:axId val="140220672"/>
        <c:axId val="0"/>
      </c:bar3DChart>
      <c:catAx>
        <c:axId val="1402191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income</a:t>
                </a:r>
              </a:p>
              <a:p>
                <a:pPr>
                  <a:defRPr sz="1400"/>
                </a:pPr>
                <a:endParaRPr lang="en-US" sz="1400"/>
              </a:p>
            </c:rich>
          </c:tx>
          <c:layout/>
          <c:overlay val="0"/>
          <c:spPr>
            <a:noFill/>
          </c:spPr>
        </c:title>
        <c:numFmt formatCode="General" sourceLinked="0"/>
        <c:majorTickMark val="none"/>
        <c:minorTickMark val="none"/>
        <c:tickLblPos val="nextTo"/>
        <c:crossAx val="140220672"/>
        <c:crosses val="autoZero"/>
        <c:auto val="1"/>
        <c:lblAlgn val="ctr"/>
        <c:lblOffset val="100"/>
        <c:noMultiLvlLbl val="0"/>
      </c:catAx>
      <c:valAx>
        <c:axId val="14022067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expenses</a:t>
                </a:r>
              </a:p>
            </c:rich>
          </c:tx>
          <c:layout/>
          <c:overlay val="0"/>
        </c:title>
        <c:numFmt formatCode="#,##0" sourceLinked="1"/>
        <c:majorTickMark val="out"/>
        <c:minorTickMark val="none"/>
        <c:tickLblPos val="nextTo"/>
        <c:crossAx val="140219136"/>
        <c:crosses val="autoZero"/>
        <c:crossBetween val="between"/>
      </c:valAx>
    </c:plotArea>
    <c:plotVisOnly val="1"/>
    <c:dispBlanksAs val="gap"/>
    <c:showDLblsOverMax val="0"/>
  </c:chart>
  <c:spPr>
    <a:solidFill>
      <a:schemeClr val="bg2"/>
    </a:solidFill>
    <a:ln>
      <a:solidFill>
        <a:schemeClr val="bg2"/>
      </a:solidFill>
    </a:ln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layout/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Sheet1!$A$4</c:f>
              <c:strCache>
                <c:ptCount val="1"/>
                <c:pt idx="0">
                  <c:v>Total Income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Sheet1!$B$3:$O$3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</c:v>
                </c:pt>
                <c:pt idx="13">
                  <c:v>Avg</c:v>
                </c:pt>
              </c:strCache>
            </c:strRef>
          </c:cat>
          <c:val>
            <c:numRef>
              <c:f>Sheet1!$B$4:$O$4</c:f>
              <c:numCache>
                <c:formatCode>#,##0</c:formatCode>
                <c:ptCount val="14"/>
                <c:pt idx="0">
                  <c:v>0</c:v>
                </c:pt>
                <c:pt idx="1">
                  <c:v>677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677</c:v>
                </c:pt>
                <c:pt idx="13">
                  <c:v>56.416666666666664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7-4CFC-936C-DF5B772FB9AA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Total Expenses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Sheet1!$B$3:$O$3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</c:v>
                </c:pt>
                <c:pt idx="13">
                  <c:v>Avg</c:v>
                </c:pt>
              </c:strCache>
            </c:strRef>
          </c:cat>
          <c:val>
            <c:numRef>
              <c:f>Sheet1!$B$5:$O$5</c:f>
              <c:numCache>
                <c:formatCode>#,##0</c:formatCode>
                <c:ptCount val="14"/>
                <c:pt idx="0">
                  <c:v>12810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9438</c:v>
                </c:pt>
                <c:pt idx="7">
                  <c:v>0</c:v>
                </c:pt>
                <c:pt idx="8">
                  <c:v>85050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107298</c:v>
                </c:pt>
                <c:pt idx="13">
                  <c:v>8941.5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17-4CFC-936C-DF5B772FB9AA}"/>
            </c:ext>
          </c:extLst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NET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Sheet1!$B$3:$O$3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</c:v>
                </c:pt>
                <c:pt idx="13">
                  <c:v>Avg</c:v>
                </c:pt>
              </c:strCache>
            </c:strRef>
          </c:cat>
          <c:val>
            <c:numRef>
              <c:f>Sheet1!$B$6:$O$6</c:f>
              <c:numCache>
                <c:formatCode>#,##0;[Red]\-#,##0</c:formatCode>
                <c:ptCount val="14"/>
                <c:pt idx="0">
                  <c:v>-12810</c:v>
                </c:pt>
                <c:pt idx="1">
                  <c:v>677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-9438</c:v>
                </c:pt>
                <c:pt idx="7">
                  <c:v>0</c:v>
                </c:pt>
                <c:pt idx="8">
                  <c:v>-85050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-106621</c:v>
                </c:pt>
                <c:pt idx="13">
                  <c:v>-8885.0833333333339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17-4CFC-936C-DF5B772FB9AA}"/>
            </c:ext>
          </c:extLst>
        </c:ser>
        <c:ser>
          <c:idx val="3"/>
          <c:order val="3"/>
          <c:tx>
            <c:strRef>
              <c:f>Sheet1!$A$7</c:f>
              <c:strCache>
                <c:ptCount val="1"/>
                <c:pt idx="0">
                  <c:v>Projected End Balance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Sheet1!$B$3:$O$3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</c:v>
                </c:pt>
                <c:pt idx="13">
                  <c:v>Avg</c:v>
                </c:pt>
              </c:strCache>
            </c:strRef>
          </c:cat>
          <c:val>
            <c:numRef>
              <c:f>Sheet1!$B$7:$O$7</c:f>
              <c:numCache>
                <c:formatCode>#,##0</c:formatCode>
                <c:ptCount val="14"/>
                <c:pt idx="0">
                  <c:v>-11810</c:v>
                </c:pt>
                <c:pt idx="1">
                  <c:v>-11133</c:v>
                </c:pt>
                <c:pt idx="2">
                  <c:v>-11133</c:v>
                </c:pt>
                <c:pt idx="3">
                  <c:v>-11133</c:v>
                </c:pt>
                <c:pt idx="4">
                  <c:v>-11133</c:v>
                </c:pt>
                <c:pt idx="5">
                  <c:v>-11133</c:v>
                </c:pt>
                <c:pt idx="6">
                  <c:v>-20571</c:v>
                </c:pt>
                <c:pt idx="7">
                  <c:v>-20571</c:v>
                </c:pt>
                <c:pt idx="8">
                  <c:v>-105621</c:v>
                </c:pt>
                <c:pt idx="9">
                  <c:v>-105621</c:v>
                </c:pt>
                <c:pt idx="10">
                  <c:v>-105621</c:v>
                </c:pt>
                <c:pt idx="11">
                  <c:v>-105621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17-4CFC-936C-DF5B772FB9A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spPr>
    <a:solidFill>
      <a:schemeClr val="bg2"/>
    </a:solidFill>
    <a:ln>
      <a:solidFill>
        <a:schemeClr val="bg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144859</xdr:colOff>
      <xdr:row>0</xdr:row>
      <xdr:rowOff>0</xdr:rowOff>
    </xdr:from>
    <xdr:to>
      <xdr:col>22</xdr:col>
      <xdr:colOff>480218</xdr:colOff>
      <xdr:row>11</xdr:row>
      <xdr:rowOff>123825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136261</xdr:colOff>
      <xdr:row>12</xdr:row>
      <xdr:rowOff>18124</xdr:rowOff>
    </xdr:from>
    <xdr:to>
      <xdr:col>22</xdr:col>
      <xdr:colOff>471620</xdr:colOff>
      <xdr:row>25</xdr:row>
      <xdr:rowOff>184283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148168</xdr:colOff>
      <xdr:row>25</xdr:row>
      <xdr:rowOff>25400</xdr:rowOff>
    </xdr:from>
    <xdr:to>
      <xdr:col>22</xdr:col>
      <xdr:colOff>423335</xdr:colOff>
      <xdr:row>38</xdr:row>
      <xdr:rowOff>154517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2" displayName="Table2" ref="A9:O17" totalsRowCount="1" headerRowDxfId="358" dataDxfId="357" totalsRowDxfId="356" dataCellStyle="Comma">
  <tableColumns count="15">
    <tableColumn id="1" name="INCOME" totalsRowFunction="custom" dataDxfId="355" totalsRowDxfId="354">
      <totalsRowFormula>"Total " &amp; Table2[[#Headers],[INCOME]]</totalsRowFormula>
    </tableColumn>
    <tableColumn id="2" name="JAN" totalsRowFunction="sum" dataDxfId="353" totalsRowDxfId="352" dataCellStyle="Comma"/>
    <tableColumn id="3" name="FEB" totalsRowFunction="sum" dataDxfId="351" totalsRowDxfId="350" dataCellStyle="Comma"/>
    <tableColumn id="4" name="MAR" totalsRowFunction="sum" dataDxfId="349" totalsRowDxfId="348" dataCellStyle="Comma"/>
    <tableColumn id="5" name="APR" totalsRowFunction="sum" dataDxfId="347" totalsRowDxfId="346" dataCellStyle="Comma"/>
    <tableColumn id="6" name="MAY" totalsRowFunction="sum" dataDxfId="345" totalsRowDxfId="344" dataCellStyle="Comma"/>
    <tableColumn id="7" name="JUN" totalsRowFunction="sum" dataDxfId="343" totalsRowDxfId="342" dataCellStyle="Comma"/>
    <tableColumn id="8" name="JUL" totalsRowFunction="sum" dataDxfId="341" totalsRowDxfId="340" dataCellStyle="Comma"/>
    <tableColumn id="9" name="AUG" totalsRowFunction="sum" dataDxfId="339" totalsRowDxfId="338" dataCellStyle="Comma"/>
    <tableColumn id="10" name="SEP" totalsRowFunction="sum" dataDxfId="337" totalsRowDxfId="336" dataCellStyle="Comma"/>
    <tableColumn id="11" name="OCT" totalsRowFunction="sum" dataDxfId="335" totalsRowDxfId="334" dataCellStyle="Comma"/>
    <tableColumn id="12" name="NOV" totalsRowFunction="sum" dataDxfId="333" totalsRowDxfId="332" dataCellStyle="Comma"/>
    <tableColumn id="13" name="DEC" totalsRowFunction="sum" dataDxfId="331" totalsRowDxfId="330" dataCellStyle="Comma"/>
    <tableColumn id="14" name="Total" totalsRowFunction="sum" dataDxfId="329" totalsRowDxfId="328">
      <calculatedColumnFormula>SUM(B10:M10)</calculatedColumnFormula>
    </tableColumn>
    <tableColumn id="15" name="Avg" totalsRowFunction="custom" dataDxfId="327" totalsRowDxfId="326">
      <calculatedColumnFormula>N10/COLUMNS(B10:M10)</calculatedColumnFormula>
      <totalsRowFormula>Table2[[#Totals],[Total]]/COLUMNS(Table2[[#Totals],[JAN]:[DEC]])</totalsRowFormula>
    </tableColumn>
  </tableColumns>
  <tableStyleInfo name="V42_IncomeCategory2" showFirstColumn="1" showLastColumn="0" showRowStripes="0" showColumnStripes="1"/>
</table>
</file>

<file path=xl/tables/table2.xml><?xml version="1.0" encoding="utf-8"?>
<table xmlns="http://schemas.openxmlformats.org/spreadsheetml/2006/main" id="2" name="Table3" displayName="Table3" ref="A19:O33" totalsRowCount="1" headerRowDxfId="325" dataDxfId="324" totalsRowDxfId="323" dataCellStyle="Comma">
  <tableColumns count="15">
    <tableColumn id="1" name="HOME EXPENSES" totalsRowFunction="custom" dataDxfId="322" totalsRowDxfId="321">
      <totalsRowFormula>"Total "&amp;Table3[[#Headers],[HOME EXPENSES]]</totalsRowFormula>
    </tableColumn>
    <tableColumn id="2" name="JAN" totalsRowFunction="sum" dataDxfId="320" totalsRowDxfId="319" dataCellStyle="Comma"/>
    <tableColumn id="3" name="FEB" totalsRowFunction="sum" dataDxfId="318" totalsRowDxfId="317" dataCellStyle="Comma"/>
    <tableColumn id="4" name="MAR" totalsRowFunction="sum" dataDxfId="316" totalsRowDxfId="315" dataCellStyle="Comma"/>
    <tableColumn id="5" name="APR" totalsRowFunction="sum" dataDxfId="314" totalsRowDxfId="313" dataCellStyle="Comma"/>
    <tableColumn id="6" name="MAY" totalsRowFunction="sum" dataDxfId="312" totalsRowDxfId="311" dataCellStyle="Comma"/>
    <tableColumn id="7" name="JUN" totalsRowFunction="sum" dataDxfId="310" totalsRowDxfId="309" dataCellStyle="Comma"/>
    <tableColumn id="8" name="JUL" totalsRowFunction="sum" dataDxfId="308" totalsRowDxfId="307" dataCellStyle="Comma"/>
    <tableColumn id="9" name="AUG" totalsRowFunction="sum" dataDxfId="306" totalsRowDxfId="305" dataCellStyle="Comma"/>
    <tableColumn id="10" name="SEP" totalsRowFunction="sum" dataDxfId="304" totalsRowDxfId="303" dataCellStyle="Comma"/>
    <tableColumn id="11" name="OCT" totalsRowFunction="sum" dataDxfId="302" totalsRowDxfId="301" dataCellStyle="Comma"/>
    <tableColumn id="12" name="NOV" totalsRowFunction="sum" dataDxfId="300" totalsRowDxfId="299" dataCellStyle="Comma"/>
    <tableColumn id="13" name="DEC" totalsRowFunction="sum" dataDxfId="298" totalsRowDxfId="297" dataCellStyle="Comma"/>
    <tableColumn id="14" name="Total" totalsRowFunction="sum" dataDxfId="296" totalsRowDxfId="295">
      <calculatedColumnFormula>SUM(B20:M20)</calculatedColumnFormula>
    </tableColumn>
    <tableColumn id="15" name="Avg" totalsRowFunction="custom" dataDxfId="294" totalsRowDxfId="293">
      <calculatedColumnFormula>N20/COLUMNS(B20:M20)</calculatedColumnFormula>
      <totalsRowFormula>Table3[[#Totals],[Total]]/COLUMNS(Table3[[#Totals],[JAN]:[DEC]])</totalsRowFormula>
    </tableColumn>
  </tableColumns>
  <tableStyleInfo name="V42_ExpenseCategory2" showFirstColumn="1" showLastColumn="0" showRowStripes="0" showColumnStripes="1"/>
</table>
</file>

<file path=xl/tables/table3.xml><?xml version="1.0" encoding="utf-8"?>
<table xmlns="http://schemas.openxmlformats.org/spreadsheetml/2006/main" id="3" name="Table4" displayName="Table4" ref="A35:O43" totalsRowCount="1" headerRowDxfId="292" dataDxfId="290" totalsRowDxfId="288" headerRowBorderDxfId="291" tableBorderDxfId="289" dataCellStyle="Comma">
  <tableColumns count="15">
    <tableColumn id="1" name="TRANSPORTATION" totalsRowFunction="custom" dataDxfId="287" totalsRowDxfId="286">
      <totalsRowFormula>"Total "&amp;Table4[[#Headers],[TRANSPORTATION]]</totalsRowFormula>
    </tableColumn>
    <tableColumn id="2" name="JAN" totalsRowFunction="sum" dataDxfId="285" totalsRowDxfId="284" dataCellStyle="Comma"/>
    <tableColumn id="3" name="FEB" totalsRowFunction="sum" dataDxfId="283" totalsRowDxfId="282" dataCellStyle="Comma"/>
    <tableColumn id="4" name="MAR" totalsRowFunction="sum" dataDxfId="281" totalsRowDxfId="280" dataCellStyle="Comma"/>
    <tableColumn id="5" name="APR" totalsRowFunction="sum" dataDxfId="279" totalsRowDxfId="278" dataCellStyle="Comma"/>
    <tableColumn id="6" name="MAY" totalsRowFunction="sum" dataDxfId="277" totalsRowDxfId="276" dataCellStyle="Comma"/>
    <tableColumn id="7" name="JUN" totalsRowFunction="sum" dataDxfId="275" totalsRowDxfId="274" dataCellStyle="Comma"/>
    <tableColumn id="8" name="JUL" totalsRowFunction="sum" dataDxfId="273" totalsRowDxfId="272" dataCellStyle="Comma"/>
    <tableColumn id="9" name="AUG" totalsRowFunction="sum" dataDxfId="271" totalsRowDxfId="270" dataCellStyle="Comma"/>
    <tableColumn id="10" name="SEP" totalsRowFunction="sum" dataDxfId="269" totalsRowDxfId="268" dataCellStyle="Comma"/>
    <tableColumn id="11" name="OCT" totalsRowFunction="sum" dataDxfId="267" totalsRowDxfId="266" dataCellStyle="Comma"/>
    <tableColumn id="12" name="NOV" totalsRowFunction="sum" dataDxfId="265" totalsRowDxfId="264" dataCellStyle="Comma"/>
    <tableColumn id="13" name="DEC" totalsRowFunction="sum" dataDxfId="263" totalsRowDxfId="262" dataCellStyle="Comma"/>
    <tableColumn id="14" name="Total" totalsRowFunction="sum" dataDxfId="261">
      <calculatedColumnFormula>SUM(B36:M36)</calculatedColumnFormula>
    </tableColumn>
    <tableColumn id="15" name="Avg" totalsRowFunction="custom" dataDxfId="260">
      <calculatedColumnFormula>N36/COLUMNS(B36:M36)</calculatedColumnFormula>
      <totalsRowFormula>Table4[[#Totals],[Total]]/COLUMNS(Table4[[#Totals],[JAN]:[DEC]])</totalsRowFormula>
    </tableColumn>
  </tableColumns>
  <tableStyleInfo name="V42_ExpenseCategory2" showFirstColumn="1" showLastColumn="0" showRowStripes="0" showColumnStripes="1"/>
</table>
</file>

<file path=xl/tables/table4.xml><?xml version="1.0" encoding="utf-8"?>
<table xmlns="http://schemas.openxmlformats.org/spreadsheetml/2006/main" id="4" name="Table5" displayName="Table5" ref="A45:O53" totalsRowCount="1" headerRowDxfId="259" dataDxfId="258" totalsRowDxfId="257" dataCellStyle="Comma">
  <tableColumns count="15">
    <tableColumn id="1" name="HEALTH" totalsRowFunction="custom" dataDxfId="256" totalsRowDxfId="255">
      <totalsRowFormula>"Total "&amp;Table5[[#Headers],[HEALTH]]</totalsRowFormula>
    </tableColumn>
    <tableColumn id="2" name="JAN" totalsRowFunction="sum" dataDxfId="254" totalsRowDxfId="253" dataCellStyle="Comma"/>
    <tableColumn id="3" name="FEB" totalsRowFunction="sum" dataDxfId="252" totalsRowDxfId="251" dataCellStyle="Comma"/>
    <tableColumn id="4" name="MAR" totalsRowFunction="sum" dataDxfId="250" totalsRowDxfId="249" dataCellStyle="Comma"/>
    <tableColumn id="5" name="APR" totalsRowFunction="sum" dataDxfId="248" totalsRowDxfId="247" dataCellStyle="Comma"/>
    <tableColumn id="6" name="MAY" totalsRowFunction="sum" dataDxfId="246" totalsRowDxfId="245" dataCellStyle="Comma"/>
    <tableColumn id="7" name="JUN" totalsRowFunction="sum" dataDxfId="244" totalsRowDxfId="243" dataCellStyle="Comma"/>
    <tableColumn id="8" name="JUL" totalsRowFunction="sum" dataDxfId="242" totalsRowDxfId="241" dataCellStyle="Comma"/>
    <tableColumn id="9" name="AUG" totalsRowFunction="sum" dataDxfId="240" totalsRowDxfId="239" dataCellStyle="Comma"/>
    <tableColumn id="10" name="SEP" totalsRowFunction="sum" dataDxfId="238" totalsRowDxfId="237" dataCellStyle="Comma"/>
    <tableColumn id="11" name="OCT" totalsRowFunction="sum" dataDxfId="236" totalsRowDxfId="235" dataCellStyle="Comma"/>
    <tableColumn id="12" name="NOV" totalsRowFunction="sum" dataDxfId="234" totalsRowDxfId="233" dataCellStyle="Comma"/>
    <tableColumn id="13" name="DEC" totalsRowFunction="sum" dataDxfId="232" totalsRowDxfId="231" dataCellStyle="Comma"/>
    <tableColumn id="14" name="Total" totalsRowFunction="sum" dataDxfId="230" totalsRowDxfId="229">
      <calculatedColumnFormula>SUM(B46:M46)</calculatedColumnFormula>
    </tableColumn>
    <tableColumn id="15" name="Avg" totalsRowFunction="custom" dataDxfId="228" totalsRowDxfId="227">
      <calculatedColumnFormula>N46/COLUMNS(B46:M46)</calculatedColumnFormula>
      <totalsRowFormula>Table5[[#Totals],[Total]]/COLUMNS(Table5[[#Totals],[JAN]:[DEC]])</totalsRowFormula>
    </tableColumn>
  </tableColumns>
  <tableStyleInfo name="V42_ExpenseCategory2" showFirstColumn="1" showLastColumn="0" showRowStripes="0" showColumnStripes="1"/>
</table>
</file>

<file path=xl/tables/table5.xml><?xml version="1.0" encoding="utf-8"?>
<table xmlns="http://schemas.openxmlformats.org/spreadsheetml/2006/main" id="5" name="Table6" displayName="Table6" ref="A55:O60" totalsRowCount="1" headerRowDxfId="226" dataDxfId="225" totalsRowDxfId="224">
  <tableColumns count="15">
    <tableColumn id="1" name="CHARITY/GIFTS" totalsRowFunction="custom" dataDxfId="223" totalsRowDxfId="222">
      <totalsRowFormula>"Total " &amp; Table6[[#Headers],[CHARITY/GIFTS]]</totalsRowFormula>
    </tableColumn>
    <tableColumn id="2" name="JAN" totalsRowFunction="sum" dataDxfId="221" totalsRowDxfId="220"/>
    <tableColumn id="3" name="FEB" totalsRowFunction="sum" dataDxfId="219" totalsRowDxfId="218"/>
    <tableColumn id="4" name="MAR" totalsRowFunction="sum" dataDxfId="217" totalsRowDxfId="216"/>
    <tableColumn id="5" name="APR" totalsRowFunction="sum" dataDxfId="215" totalsRowDxfId="214"/>
    <tableColumn id="6" name="MAY" totalsRowFunction="sum" dataDxfId="213" totalsRowDxfId="212"/>
    <tableColumn id="7" name="JUN" totalsRowFunction="sum" dataDxfId="211" totalsRowDxfId="210"/>
    <tableColumn id="8" name="JUL" totalsRowFunction="sum" dataDxfId="209" totalsRowDxfId="208"/>
    <tableColumn id="9" name="AUG" totalsRowFunction="sum" dataDxfId="207" totalsRowDxfId="206"/>
    <tableColumn id="10" name="SEP" totalsRowFunction="sum" dataDxfId="205" totalsRowDxfId="204"/>
    <tableColumn id="11" name="OCT" totalsRowFunction="sum" dataDxfId="203" totalsRowDxfId="202"/>
    <tableColumn id="12" name="NOV" totalsRowFunction="sum" dataDxfId="201" totalsRowDxfId="200"/>
    <tableColumn id="13" name="DEC" totalsRowFunction="sum" dataDxfId="199" totalsRowDxfId="198"/>
    <tableColumn id="14" name="Total" totalsRowFunction="sum" dataDxfId="197" totalsRowDxfId="196">
      <calculatedColumnFormula>SUM(B56:M56)</calculatedColumnFormula>
    </tableColumn>
    <tableColumn id="15" name="Avg" totalsRowFunction="custom" dataDxfId="195" totalsRowDxfId="194">
      <calculatedColumnFormula>N56/COLUMNS(B56:M56)</calculatedColumnFormula>
      <totalsRowFormula>Table6[[#Totals],[Total]]/COLUMNS(Table6[[#Totals],[JAN]:[DEC]])</totalsRowFormula>
    </tableColumn>
  </tableColumns>
  <tableStyleInfo name="V42_ExpenseCategory2" showFirstColumn="1" showLastColumn="0" showRowStripes="0" showColumnStripes="1"/>
</table>
</file>

<file path=xl/tables/table6.xml><?xml version="1.0" encoding="utf-8"?>
<table xmlns="http://schemas.openxmlformats.org/spreadsheetml/2006/main" id="6" name="Table7" displayName="Table7" ref="A62:O72" totalsRowCount="1" headerRowDxfId="193" dataDxfId="192" totalsRowDxfId="191" dataCellStyle="Comma">
  <tableColumns count="15">
    <tableColumn id="1" name="DAILY LIVING" totalsRowFunction="custom" dataDxfId="190" totalsRowDxfId="189">
      <totalsRowFormula>"Total " &amp; Table7[[#Headers],[DAILY LIVING]]</totalsRowFormula>
    </tableColumn>
    <tableColumn id="2" name="JAN" totalsRowFunction="sum" dataDxfId="188" totalsRowDxfId="187" dataCellStyle="Comma"/>
    <tableColumn id="3" name="FEB" totalsRowFunction="sum" dataDxfId="186" totalsRowDxfId="185" dataCellStyle="Comma"/>
    <tableColumn id="4" name="MAR" totalsRowFunction="sum" dataDxfId="184" totalsRowDxfId="183" dataCellStyle="Comma"/>
    <tableColumn id="5" name="APR" totalsRowFunction="sum" dataDxfId="182" totalsRowDxfId="181" dataCellStyle="Comma"/>
    <tableColumn id="6" name="MAY" totalsRowFunction="sum" dataDxfId="180" totalsRowDxfId="179" dataCellStyle="Comma"/>
    <tableColumn id="7" name="JUN" totalsRowFunction="sum" dataDxfId="178" totalsRowDxfId="177" dataCellStyle="Comma"/>
    <tableColumn id="8" name="JUL" totalsRowFunction="sum" dataDxfId="176" totalsRowDxfId="175" dataCellStyle="Comma"/>
    <tableColumn id="9" name="AUG" totalsRowFunction="sum" dataDxfId="174" totalsRowDxfId="173" dataCellStyle="Comma"/>
    <tableColumn id="10" name="SEP" totalsRowFunction="sum" dataDxfId="172" totalsRowDxfId="171" dataCellStyle="Comma"/>
    <tableColumn id="11" name="OCT" totalsRowFunction="sum" dataDxfId="170" totalsRowDxfId="169" dataCellStyle="Comma"/>
    <tableColumn id="12" name="NOV" totalsRowFunction="sum" dataDxfId="168" totalsRowDxfId="167" dataCellStyle="Comma"/>
    <tableColumn id="13" name="DEC" totalsRowFunction="sum" dataDxfId="166" totalsRowDxfId="165" dataCellStyle="Comma"/>
    <tableColumn id="14" name="Total" totalsRowFunction="sum" dataDxfId="164" totalsRowDxfId="163">
      <calculatedColumnFormula>SUM(B63:M63)</calculatedColumnFormula>
    </tableColumn>
    <tableColumn id="15" name="Avg" totalsRowFunction="custom" dataDxfId="162" totalsRowDxfId="161">
      <calculatedColumnFormula>N63/COLUMNS(B63:M63)</calculatedColumnFormula>
      <totalsRowFormula>Table7[[#Totals],[Total]]/COLUMNS(Table7[[#Totals],[JAN]:[DEC]])</totalsRowFormula>
    </tableColumn>
  </tableColumns>
  <tableStyleInfo name="V42_ExpenseCategory2" showFirstColumn="1" showLastColumn="0" showRowStripes="0" showColumnStripes="1"/>
</table>
</file>

<file path=xl/tables/table7.xml><?xml version="1.0" encoding="utf-8"?>
<table xmlns="http://schemas.openxmlformats.org/spreadsheetml/2006/main" id="7" name="Table8" displayName="Table8" ref="A74:O86" totalsRowCount="1" headerRowDxfId="160" dataDxfId="159" totalsRowDxfId="158" dataCellStyle="Comma">
  <tableColumns count="15">
    <tableColumn id="1" name="ENTERTAINMENT" totalsRowFunction="custom" dataDxfId="157" totalsRowDxfId="156">
      <totalsRowFormula>"Total " &amp; Table8[[#Headers],[ENTERTAINMENT]]</totalsRowFormula>
    </tableColumn>
    <tableColumn id="2" name="JAN" totalsRowFunction="sum" dataDxfId="155" totalsRowDxfId="154" dataCellStyle="Comma"/>
    <tableColumn id="3" name="FEB" totalsRowFunction="sum" dataDxfId="153" totalsRowDxfId="152" dataCellStyle="Comma"/>
    <tableColumn id="4" name="MAR" totalsRowFunction="sum" dataDxfId="151" totalsRowDxfId="150" dataCellStyle="Comma"/>
    <tableColumn id="5" name="APR" totalsRowFunction="sum" dataDxfId="149" totalsRowDxfId="148" dataCellStyle="Comma"/>
    <tableColumn id="6" name="MAY" totalsRowFunction="sum" dataDxfId="147" totalsRowDxfId="146" dataCellStyle="Comma"/>
    <tableColumn id="7" name="JUN" totalsRowFunction="sum" dataDxfId="145" totalsRowDxfId="144" dataCellStyle="Comma"/>
    <tableColumn id="8" name="JUL" totalsRowFunction="sum" dataDxfId="143" totalsRowDxfId="142" dataCellStyle="Comma"/>
    <tableColumn id="9" name="AUG" totalsRowFunction="sum" dataDxfId="141" totalsRowDxfId="140" dataCellStyle="Comma"/>
    <tableColumn id="10" name="SEP" totalsRowFunction="sum" dataDxfId="139" totalsRowDxfId="138" dataCellStyle="Comma"/>
    <tableColumn id="11" name="OCT" totalsRowFunction="sum" dataDxfId="137" totalsRowDxfId="136" dataCellStyle="Comma"/>
    <tableColumn id="12" name="NOV" totalsRowFunction="sum" dataDxfId="135" totalsRowDxfId="134" dataCellStyle="Comma"/>
    <tableColumn id="13" name="DEC" totalsRowFunction="sum" dataDxfId="133" totalsRowDxfId="132" dataCellStyle="Comma"/>
    <tableColumn id="14" name="Total" totalsRowFunction="sum" dataDxfId="131" totalsRowDxfId="130">
      <calculatedColumnFormula>SUM(B75:M75)</calculatedColumnFormula>
    </tableColumn>
    <tableColumn id="15" name="Avg" totalsRowFunction="custom" dataDxfId="129" totalsRowDxfId="128">
      <calculatedColumnFormula>N75/COLUMNS(B75:M75)</calculatedColumnFormula>
      <totalsRowFormula>Table8[[#Totals],[Total]]/COLUMNS(Table8[[#Totals],[JAN]:[DEC]])</totalsRowFormula>
    </tableColumn>
  </tableColumns>
  <tableStyleInfo name="V42_ExpenseCategory2" showFirstColumn="1" showLastColumn="0" showRowStripes="0" showColumnStripes="1"/>
</table>
</file>

<file path=xl/tables/table8.xml><?xml version="1.0" encoding="utf-8"?>
<table xmlns="http://schemas.openxmlformats.org/spreadsheetml/2006/main" id="8" name="Table9" displayName="Table9" ref="A88:O95" totalsRowCount="1" headerRowDxfId="127" dataDxfId="126" totalsRowDxfId="125" dataCellStyle="Comma">
  <tableColumns count="15">
    <tableColumn id="1" name="SAVINGS" totalsRowFunction="custom" dataDxfId="124" totalsRowDxfId="123">
      <totalsRowFormula>"Total " &amp;Table9[[#Headers],[SAVINGS]]</totalsRowFormula>
    </tableColumn>
    <tableColumn id="2" name="JAN" totalsRowFunction="sum" dataDxfId="122" totalsRowDxfId="121" dataCellStyle="Comma"/>
    <tableColumn id="3" name="FEB" totalsRowFunction="sum" dataDxfId="120" totalsRowDxfId="119" dataCellStyle="Comma"/>
    <tableColumn id="4" name="MAR" totalsRowFunction="sum" dataDxfId="118" totalsRowDxfId="117" dataCellStyle="Comma"/>
    <tableColumn id="5" name="APR" totalsRowFunction="sum" dataDxfId="116" totalsRowDxfId="115" dataCellStyle="Comma"/>
    <tableColumn id="6" name="MAY" totalsRowFunction="sum" dataDxfId="114" totalsRowDxfId="113" dataCellStyle="Comma"/>
    <tableColumn id="7" name="JUN" totalsRowFunction="sum" dataDxfId="112" totalsRowDxfId="111" dataCellStyle="Comma"/>
    <tableColumn id="8" name="JUL" totalsRowFunction="sum" dataDxfId="110" totalsRowDxfId="109" dataCellStyle="Comma"/>
    <tableColumn id="9" name="AUG" totalsRowFunction="sum" dataDxfId="108" totalsRowDxfId="107" dataCellStyle="Comma"/>
    <tableColumn id="10" name="SEP" totalsRowFunction="sum" dataDxfId="106" totalsRowDxfId="105" dataCellStyle="Comma"/>
    <tableColumn id="11" name="OCT" totalsRowFunction="sum" dataDxfId="104" totalsRowDxfId="103" dataCellStyle="Comma"/>
    <tableColumn id="12" name="NOV" totalsRowFunction="sum" dataDxfId="102" totalsRowDxfId="101" dataCellStyle="Comma"/>
    <tableColumn id="13" name="DEC" totalsRowFunction="sum" dataDxfId="100" totalsRowDxfId="99" dataCellStyle="Comma"/>
    <tableColumn id="14" name="Total" totalsRowFunction="sum" dataDxfId="98" totalsRowDxfId="97">
      <calculatedColumnFormula>SUM(B89:M89)</calculatedColumnFormula>
    </tableColumn>
    <tableColumn id="15" name="Avg" totalsRowFunction="custom" dataDxfId="96" totalsRowDxfId="95">
      <calculatedColumnFormula>N89/COLUMNS(B89:M89)</calculatedColumnFormula>
      <totalsRowFormula>Table9[[#Totals],[Total]]/COLUMNS(Table9[[#Totals],[JAN]:[DEC]])</totalsRowFormula>
    </tableColumn>
  </tableColumns>
  <tableStyleInfo name="V42_ExpenseCategory2" showFirstColumn="1" showLastColumn="0" showRowStripes="0" showColumnStripes="1"/>
</table>
</file>

<file path=xl/tables/table9.xml><?xml version="1.0" encoding="utf-8"?>
<table xmlns="http://schemas.openxmlformats.org/spreadsheetml/2006/main" id="9" name="Table10" displayName="Table10" ref="A97:O105" totalsRowCount="1" headerRowDxfId="94" dataDxfId="93" totalsRowDxfId="92" dataCellStyle="Comma">
  <tableColumns count="15">
    <tableColumn id="1" name="OBLIGATIONS" totalsRowFunction="custom" dataDxfId="91" totalsRowDxfId="90">
      <totalsRowFormula>"Total " &amp; Table10[[#Headers],[OBLIGATIONS]]</totalsRowFormula>
    </tableColumn>
    <tableColumn id="2" name="JAN" totalsRowFunction="sum" dataDxfId="89" totalsRowDxfId="88" dataCellStyle="Comma"/>
    <tableColumn id="3" name="FEB" totalsRowFunction="sum" dataDxfId="87" totalsRowDxfId="86" dataCellStyle="Comma"/>
    <tableColumn id="4" name="MAR" totalsRowFunction="sum" dataDxfId="85" totalsRowDxfId="84" dataCellStyle="Comma"/>
    <tableColumn id="5" name="APR" totalsRowFunction="sum" dataDxfId="83" totalsRowDxfId="82" dataCellStyle="Comma"/>
    <tableColumn id="6" name="MAY" totalsRowFunction="sum" dataDxfId="81" totalsRowDxfId="80" dataCellStyle="Comma"/>
    <tableColumn id="7" name="JUN" totalsRowFunction="sum" dataDxfId="79" totalsRowDxfId="78" dataCellStyle="Comma"/>
    <tableColumn id="8" name="JUL" totalsRowFunction="sum" dataDxfId="77" totalsRowDxfId="76" dataCellStyle="Comma"/>
    <tableColumn id="9" name="AUG" totalsRowFunction="sum" dataDxfId="75" totalsRowDxfId="74" dataCellStyle="Comma"/>
    <tableColumn id="10" name="SEP" totalsRowFunction="sum" dataDxfId="73" totalsRowDxfId="72" dataCellStyle="Comma"/>
    <tableColumn id="11" name="OCT" totalsRowFunction="sum" dataDxfId="71" totalsRowDxfId="70" dataCellStyle="Comma"/>
    <tableColumn id="12" name="NOV" totalsRowFunction="sum" dataDxfId="69" totalsRowDxfId="68" dataCellStyle="Comma"/>
    <tableColumn id="13" name="DEC" totalsRowFunction="sum" dataDxfId="67" totalsRowDxfId="66" dataCellStyle="Comma"/>
    <tableColumn id="14" name="Total" totalsRowFunction="sum" dataDxfId="65" totalsRowDxfId="64">
      <calculatedColumnFormula>SUM(B98:M98)</calculatedColumnFormula>
    </tableColumn>
    <tableColumn id="15" name="Avg" totalsRowFunction="custom" dataDxfId="63" totalsRowDxfId="62">
      <calculatedColumnFormula>N98/COLUMNS(B98:M98)</calculatedColumnFormula>
      <totalsRowFormula>Table10[[#Totals],[Total]]/COLUMNS(Table10[[#Totals],[JAN]:[DEC]])</totalsRowFormula>
    </tableColumn>
  </tableColumns>
  <tableStyleInfo name="V42_ExpenseCategory2" showFirstColumn="1" showLastColumn="0" showRowStripes="0" showColumnStripes="1"/>
</table>
</file>

<file path=xl/tables/table10.xml><?xml version="1.0" encoding="utf-8"?>
<table xmlns="http://schemas.openxmlformats.org/spreadsheetml/2006/main" id="10" name="Table11" displayName="Table11" ref="A107:O112" totalsRowCount="1" headerRowDxfId="61" dataDxfId="60" totalsRowDxfId="59">
  <tableColumns count="15">
    <tableColumn id="1" name="SUBSCRIPTIONS" totalsRowFunction="custom" dataDxfId="58" totalsRowDxfId="57">
      <totalsRowFormula>"Total " &amp;Table11[[#Headers],[SUBSCRIPTIONS]]</totalsRowFormula>
    </tableColumn>
    <tableColumn id="2" name="JAN" totalsRowFunction="sum" dataDxfId="56" totalsRowDxfId="55"/>
    <tableColumn id="3" name="FEB" totalsRowFunction="sum" dataDxfId="54" totalsRowDxfId="53"/>
    <tableColumn id="4" name="MAR" totalsRowFunction="sum" dataDxfId="52" totalsRowDxfId="51"/>
    <tableColumn id="5" name="APR" totalsRowFunction="sum" dataDxfId="50" totalsRowDxfId="49"/>
    <tableColumn id="6" name="MAY" totalsRowFunction="sum" dataDxfId="48" totalsRowDxfId="47"/>
    <tableColumn id="7" name="JUN" totalsRowFunction="sum" dataDxfId="46" totalsRowDxfId="45"/>
    <tableColumn id="8" name="JUL" totalsRowFunction="sum" dataDxfId="44" totalsRowDxfId="43"/>
    <tableColumn id="9" name="AUG" totalsRowFunction="sum" dataDxfId="42" totalsRowDxfId="41"/>
    <tableColumn id="10" name="SEP" totalsRowFunction="sum" dataDxfId="40" totalsRowDxfId="39"/>
    <tableColumn id="11" name="OCT" totalsRowFunction="sum" dataDxfId="38" totalsRowDxfId="37"/>
    <tableColumn id="12" name="NOV" totalsRowFunction="sum" dataDxfId="36" totalsRowDxfId="35"/>
    <tableColumn id="13" name="DEC" totalsRowFunction="sum" dataDxfId="34" totalsRowDxfId="33"/>
    <tableColumn id="14" name="Total" totalsRowFunction="sum" dataDxfId="32">
      <calculatedColumnFormula>SUM(B108:M108)</calculatedColumnFormula>
    </tableColumn>
    <tableColumn id="15" name="Avg" totalsRowFunction="custom" dataDxfId="31">
      <calculatedColumnFormula>N108/COLUMNS(B108:M108)</calculatedColumnFormula>
      <totalsRowFormula>Table11[[#Totals],[Total]]/COLUMNS(Table11[[#Totals],[JAN]:[DEC]])</totalsRowFormula>
    </tableColumn>
  </tableColumns>
  <tableStyleInfo name="V42_ExpenseCategory2" showFirstColumn="1" showLastColumn="0" showRowStripes="0" showColumnStripes="1"/>
</table>
</file>

<file path=xl/tables/table11.xml><?xml version="1.0" encoding="utf-8"?>
<table xmlns="http://schemas.openxmlformats.org/spreadsheetml/2006/main" id="11" name="Table12" displayName="Table12" ref="A114:O119" totalsRowCount="1" headerRowDxfId="30" dataDxfId="29" totalsRowDxfId="28">
  <tableColumns count="15">
    <tableColumn id="1" name="MISCELLANEOUS" totalsRowFunction="custom" dataDxfId="27" totalsRowDxfId="26">
      <totalsRowFormula>"Total " &amp;Table12[[#Headers],[MISCELLANEOUS]]</totalsRowFormula>
    </tableColumn>
    <tableColumn id="2" name="JAN" totalsRowFunction="sum" dataDxfId="25" totalsRowDxfId="24"/>
    <tableColumn id="3" name="FEB" totalsRowFunction="sum" dataDxfId="23" totalsRowDxfId="22"/>
    <tableColumn id="4" name="MAR" totalsRowFunction="sum" dataDxfId="21" totalsRowDxfId="20"/>
    <tableColumn id="5" name="APR" totalsRowFunction="sum" dataDxfId="19" totalsRowDxfId="18"/>
    <tableColumn id="6" name="MAY" totalsRowFunction="sum" dataDxfId="17" totalsRowDxfId="16"/>
    <tableColumn id="7" name="JUN" totalsRowFunction="sum" dataDxfId="15" totalsRowDxfId="14"/>
    <tableColumn id="8" name="JUL" totalsRowFunction="sum" dataDxfId="13" totalsRowDxfId="12"/>
    <tableColumn id="9" name="AUG" totalsRowFunction="sum" dataDxfId="11" totalsRowDxfId="10"/>
    <tableColumn id="10" name="SEP" totalsRowFunction="sum" dataDxfId="9" totalsRowDxfId="8"/>
    <tableColumn id="11" name="OCT" totalsRowFunction="sum" dataDxfId="7" totalsRowDxfId="6"/>
    <tableColumn id="12" name="NOV" totalsRowFunction="sum" dataDxfId="5" totalsRowDxfId="4"/>
    <tableColumn id="13" name="DEC" totalsRowFunction="sum" dataDxfId="3" totalsRowDxfId="2"/>
    <tableColumn id="14" name="Total" totalsRowFunction="sum" dataDxfId="1">
      <calculatedColumnFormula>SUM(B115:M115)</calculatedColumnFormula>
    </tableColumn>
    <tableColumn id="15" name="Avg" totalsRowFunction="custom" dataDxfId="0">
      <calculatedColumnFormula>N115/COLUMNS(B115:M115)</calculatedColumnFormula>
      <totalsRowFormula>Table12[[#Totals],[Total]]/COLUMNS(Table12[[#Totals],[JAN]:[DEC]])</totalsRowFormula>
    </tableColumn>
  </tableColumns>
  <tableStyleInfo name="V42_ExpenseCategory2" showFirstColumn="1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1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19"/>
  <sheetViews>
    <sheetView tabSelected="1" topLeftCell="F20" zoomScale="90" zoomScaleNormal="90" workbookViewId="0">
      <selection activeCell="B12" sqref="B12"/>
    </sheetView>
  </sheetViews>
  <sheetFormatPr defaultRowHeight="14.5" x14ac:dyDescent="0.35"/>
  <cols>
    <col min="1" max="1" width="21.81640625" bestFit="1" customWidth="1"/>
    <col min="2" max="2" width="10" customWidth="1"/>
    <col min="3" max="3" width="9.26953125" customWidth="1"/>
    <col min="4" max="4" width="8.7265625" customWidth="1"/>
    <col min="5" max="5" width="9.453125" customWidth="1"/>
    <col min="6" max="6" width="10.1796875" customWidth="1"/>
    <col min="7" max="7" width="10" customWidth="1"/>
    <col min="8" max="8" width="8.54296875" customWidth="1"/>
    <col min="9" max="9" width="8.26953125" customWidth="1"/>
    <col min="10" max="10" width="8" customWidth="1"/>
    <col min="11" max="11" width="9.26953125" customWidth="1"/>
    <col min="12" max="12" width="8.54296875" customWidth="1"/>
    <col min="13" max="13" width="9.1796875" customWidth="1"/>
    <col min="14" max="15" width="8.54296875" customWidth="1"/>
  </cols>
  <sheetData>
    <row r="1" spans="1:15" ht="41.25" customHeight="1" x14ac:dyDescent="0.35">
      <c r="A1" s="33" t="s">
        <v>98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ht="22.5" customHeight="1" x14ac:dyDescent="0.35">
      <c r="A2" s="16" t="s">
        <v>0</v>
      </c>
      <c r="B2" s="27">
        <v>1000</v>
      </c>
      <c r="C2" s="1"/>
      <c r="D2" s="1"/>
      <c r="E2" s="1"/>
      <c r="F2" s="1"/>
      <c r="G2" s="1"/>
      <c r="H2" s="1"/>
      <c r="I2" s="1"/>
      <c r="J2" s="1"/>
      <c r="K2" s="1"/>
      <c r="L2" s="1"/>
      <c r="M2" s="3" t="s">
        <v>1</v>
      </c>
      <c r="N2" s="1"/>
      <c r="O2" s="1"/>
    </row>
    <row r="3" spans="1:15" ht="15" x14ac:dyDescent="0.35">
      <c r="A3" s="17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4" t="s">
        <v>14</v>
      </c>
      <c r="O3" s="4" t="s">
        <v>15</v>
      </c>
    </row>
    <row r="4" spans="1:15" ht="15.5" x14ac:dyDescent="0.35">
      <c r="A4" s="18" t="s">
        <v>16</v>
      </c>
      <c r="B4" s="28">
        <f>Table2[[#Totals],[JAN]]</f>
        <v>0</v>
      </c>
      <c r="C4" s="28">
        <f>Table2[[#Totals],[FEB]]</f>
        <v>677</v>
      </c>
      <c r="D4" s="28">
        <f>Table2[[#Totals],[MAR]]</f>
        <v>0</v>
      </c>
      <c r="E4" s="28">
        <f>Table2[[#Totals],[APR]]</f>
        <v>0</v>
      </c>
      <c r="F4" s="28">
        <f>Table2[[#Totals],[MAY]]</f>
        <v>0</v>
      </c>
      <c r="G4" s="28">
        <f>Table2[[#Totals],[JUN]]</f>
        <v>0</v>
      </c>
      <c r="H4" s="28">
        <f>Table2[[#Totals],[JUL]]</f>
        <v>0</v>
      </c>
      <c r="I4" s="28">
        <f>Table2[[#Totals],[AUG]]</f>
        <v>0</v>
      </c>
      <c r="J4" s="28">
        <f>Table2[[#Totals],[SEP]]</f>
        <v>0</v>
      </c>
      <c r="K4" s="28">
        <f>Table2[[#Totals],[OCT]]</f>
        <v>0</v>
      </c>
      <c r="L4" s="28">
        <f>Table2[[#Totals],[NOV]]</f>
        <v>0</v>
      </c>
      <c r="M4" s="28">
        <f>Table2[[#Totals],[DEC]]</f>
        <v>0</v>
      </c>
      <c r="N4" s="29">
        <f>SUM(B4:M4)</f>
        <v>677</v>
      </c>
      <c r="O4" s="29">
        <f>N4/COLUMNS(B4:M4)</f>
        <v>56.416666666666664</v>
      </c>
    </row>
    <row r="5" spans="1:15" ht="15.5" x14ac:dyDescent="0.35">
      <c r="A5" s="19" t="s">
        <v>17</v>
      </c>
      <c r="B5" s="30">
        <f>SUM(Table3[[#Totals],[JAN]],Table4[[#Totals],[JAN]],Table5[[#Totals],[JAN]],Table6[[#Totals],[JAN]],Table7[[#Totals],[JAN]],Table8[[#Totals],[JAN]],Table9[[#Totals],[JAN]],Table10[[#Totals],[JAN]],Table11[[#Totals],[JAN]],Table12[[#Totals],[JAN]])</f>
        <v>12810</v>
      </c>
      <c r="C5" s="30">
        <f>SUM(Table3[[#Totals],[FEB]],Table4[[#Totals],[FEB]],Table5[[#Totals],[FEB]],Table6[[#Totals],[FEB]],Table7[[#Totals],[FEB]],Table8[[#Totals],[FEB]],Table9[[#Totals],[FEB]],Table10[[#Totals],[FEB]],Table11[[#Totals],[FEB]],Table12[[#Totals],[FEB]])</f>
        <v>0</v>
      </c>
      <c r="D5" s="30">
        <f>SUM(Table3[[#Totals],[MAR]],Table4[[#Totals],[MAR]],Table5[[#Totals],[MAR]],Table6[[#Totals],[MAR]],Table7[[#Totals],[MAR]],Table8[[#Totals],[MAR]],Table9[[#Totals],[MAR]],Table10[[#Totals],[MAR]],Table11[[#Totals],[MAR]],Table12[[#Totals],[MAR]])</f>
        <v>0</v>
      </c>
      <c r="E5" s="30">
        <f>SUM(Table3[[#Totals],[APR]],Table4[[#Totals],[APR]],Table5[[#Totals],[APR]],Table6[[#Totals],[APR]],Table7[[#Totals],[APR]],Table8[[#Totals],[APR]],Table9[[#Totals],[APR]],Table10[[#Totals],[APR]],Table11[[#Totals],[APR]],Table12[[#Totals],[APR]])</f>
        <v>0</v>
      </c>
      <c r="F5" s="30">
        <f>SUM(Table3[[#Totals],[MAY]],Table4[[#Totals],[MAY]],Table5[[#Totals],[MAY]],Table6[[#Totals],[MAY]],Table7[[#Totals],[MAY]],Table8[[#Totals],[MAY]],Table9[[#Totals],[MAY]],Table10[[#Totals],[MAY]],Table11[[#Totals],[MAY]],Table12[[#Totals],[MAY]])</f>
        <v>0</v>
      </c>
      <c r="G5" s="30">
        <f>SUM(Table3[[#Totals],[JUN]],Table4[[#Totals],[JUN]],Table5[[#Totals],[JUN]],Table6[[#Totals],[JUN]],Table7[[#Totals],[JUN]],Table8[[#Totals],[JUN]],Table9[[#Totals],[JUN]],Table10[[#Totals],[JUN]],Table11[[#Totals],[JUN]],Table12[[#Totals],[JUN]])</f>
        <v>0</v>
      </c>
      <c r="H5" s="30">
        <f>SUM(Table3[[#Totals],[JUL]],Table4[[#Totals],[JUL]],Table5[[#Totals],[JUL]],Table6[[#Totals],[JUL]],Table7[[#Totals],[JUL]],Table8[[#Totals],[JUL]],Table9[[#Totals],[JUL]],Table10[[#Totals],[JUL]],Table11[[#Totals],[JUL]],Table12[[#Totals],[JUL]])</f>
        <v>9438</v>
      </c>
      <c r="I5" s="30">
        <f>SUM(Table3[[#Totals],[AUG]],Table4[[#Totals],[AUG]],Table5[[#Totals],[AUG]],Table6[[#Totals],[AUG]],Table7[[#Totals],[AUG]],Table8[[#Totals],[AUG]],Table9[[#Totals],[AUG]],Table10[[#Totals],[AUG]],Table11[[#Totals],[AUG]],Table12[[#Totals],[AUG]])</f>
        <v>0</v>
      </c>
      <c r="J5" s="30">
        <f>SUM(Table3[[#Totals],[SEP]],Table4[[#Totals],[SEP]],Table5[[#Totals],[SEP]],Table6[[#Totals],[SEP]],Table7[[#Totals],[SEP]],Table8[[#Totals],[SEP]],Table9[[#Totals],[SEP]],Table10[[#Totals],[SEP]],Table11[[#Totals],[SEP]],Table12[[#Totals],[SEP]])</f>
        <v>85050</v>
      </c>
      <c r="K5" s="30">
        <f>SUM(Table3[[#Totals],[OCT]],Table4[[#Totals],[OCT]],Table5[[#Totals],[OCT]],Table6[[#Totals],[OCT]],Table7[[#Totals],[OCT]],Table8[[#Totals],[OCT]],Table9[[#Totals],[OCT]],Table10[[#Totals],[OCT]],Table11[[#Totals],[OCT]],Table12[[#Totals],[OCT]])</f>
        <v>0</v>
      </c>
      <c r="L5" s="30">
        <f>SUM(Table3[[#Totals],[NOV]],Table4[[#Totals],[NOV]],Table5[[#Totals],[NOV]],Table6[[#Totals],[NOV]],Table7[[#Totals],[NOV]],Table8[[#Totals],[NOV]],Table9[[#Totals],[NOV]],Table10[[#Totals],[NOV]],Table11[[#Totals],[NOV]],Table12[[#Totals],[NOV]])</f>
        <v>0</v>
      </c>
      <c r="M5" s="30">
        <f>SUM(Table3[[#Totals],[DEC]],Table4[[#Totals],[DEC]],Table5[[#Totals],[DEC]],Table6[[#Totals],[DEC]],Table7[[#Totals],[DEC]],Table8[[#Totals],[DEC]],Table9[[#Totals],[DEC]],Table10[[#Totals],[DEC]],Table11[[#Totals],[DEC]],Table12[[#Totals],[DEC]])</f>
        <v>0</v>
      </c>
      <c r="N5" s="29">
        <f>SUM(B5:M5)</f>
        <v>107298</v>
      </c>
      <c r="O5" s="29">
        <f>N5/COLUMNS(B5:M5)</f>
        <v>8941.5</v>
      </c>
    </row>
    <row r="6" spans="1:15" ht="16" thickBot="1" x14ac:dyDescent="0.4">
      <c r="A6" s="20" t="s">
        <v>18</v>
      </c>
      <c r="B6" s="31">
        <f t="shared" ref="B6:M6" si="0">B4-B5</f>
        <v>-12810</v>
      </c>
      <c r="C6" s="31">
        <f t="shared" si="0"/>
        <v>677</v>
      </c>
      <c r="D6" s="31">
        <f t="shared" si="0"/>
        <v>0</v>
      </c>
      <c r="E6" s="31">
        <f t="shared" si="0"/>
        <v>0</v>
      </c>
      <c r="F6" s="31">
        <f t="shared" si="0"/>
        <v>0</v>
      </c>
      <c r="G6" s="31">
        <f t="shared" si="0"/>
        <v>0</v>
      </c>
      <c r="H6" s="31">
        <f t="shared" si="0"/>
        <v>-9438</v>
      </c>
      <c r="I6" s="31">
        <f t="shared" si="0"/>
        <v>0</v>
      </c>
      <c r="J6" s="31">
        <f t="shared" si="0"/>
        <v>-85050</v>
      </c>
      <c r="K6" s="31">
        <f t="shared" si="0"/>
        <v>0</v>
      </c>
      <c r="L6" s="31">
        <f t="shared" si="0"/>
        <v>0</v>
      </c>
      <c r="M6" s="31">
        <f t="shared" si="0"/>
        <v>0</v>
      </c>
      <c r="N6" s="31">
        <f>SUM(B6:M6)</f>
        <v>-106621</v>
      </c>
      <c r="O6" s="31">
        <f>N6/COLUMNS(B6:M6)</f>
        <v>-8885.0833333333339</v>
      </c>
    </row>
    <row r="7" spans="1:15" ht="16" thickTop="1" x14ac:dyDescent="0.35">
      <c r="A7" s="18" t="s">
        <v>19</v>
      </c>
      <c r="B7" s="28">
        <f>B4-B5+B2</f>
        <v>-11810</v>
      </c>
      <c r="C7" s="28">
        <f t="shared" ref="C7:M7" si="1">B7+C4-C5</f>
        <v>-11133</v>
      </c>
      <c r="D7" s="28">
        <f t="shared" si="1"/>
        <v>-11133</v>
      </c>
      <c r="E7" s="28">
        <f t="shared" si="1"/>
        <v>-11133</v>
      </c>
      <c r="F7" s="28">
        <f t="shared" si="1"/>
        <v>-11133</v>
      </c>
      <c r="G7" s="28">
        <f t="shared" si="1"/>
        <v>-11133</v>
      </c>
      <c r="H7" s="28">
        <f t="shared" si="1"/>
        <v>-20571</v>
      </c>
      <c r="I7" s="28">
        <f t="shared" si="1"/>
        <v>-20571</v>
      </c>
      <c r="J7" s="28">
        <f t="shared" si="1"/>
        <v>-105621</v>
      </c>
      <c r="K7" s="28">
        <f t="shared" si="1"/>
        <v>-105621</v>
      </c>
      <c r="L7" s="28">
        <f t="shared" si="1"/>
        <v>-105621</v>
      </c>
      <c r="M7" s="28">
        <f t="shared" si="1"/>
        <v>-105621</v>
      </c>
      <c r="N7" s="32"/>
      <c r="O7" s="32"/>
    </row>
    <row r="8" spans="1:15" ht="15.5" x14ac:dyDescent="0.35">
      <c r="A8" s="23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ht="15" x14ac:dyDescent="0.35">
      <c r="A9" s="21" t="s">
        <v>20</v>
      </c>
      <c r="B9" s="7" t="s">
        <v>2</v>
      </c>
      <c r="C9" s="7" t="s">
        <v>3</v>
      </c>
      <c r="D9" s="7" t="s">
        <v>4</v>
      </c>
      <c r="E9" s="7" t="s">
        <v>5</v>
      </c>
      <c r="F9" s="7" t="s">
        <v>6</v>
      </c>
      <c r="G9" s="7" t="s">
        <v>7</v>
      </c>
      <c r="H9" s="7" t="s">
        <v>8</v>
      </c>
      <c r="I9" s="7" t="s">
        <v>9</v>
      </c>
      <c r="J9" s="7" t="s">
        <v>10</v>
      </c>
      <c r="K9" s="7" t="s">
        <v>11</v>
      </c>
      <c r="L9" s="7" t="s">
        <v>12</v>
      </c>
      <c r="M9" s="7" t="s">
        <v>13</v>
      </c>
      <c r="N9" s="8" t="s">
        <v>14</v>
      </c>
      <c r="O9" s="8" t="s">
        <v>15</v>
      </c>
    </row>
    <row r="10" spans="1:15" ht="15.5" x14ac:dyDescent="0.35">
      <c r="A10" s="22" t="s">
        <v>21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0">
        <f t="shared" ref="N10:N16" si="2">SUM(B10:M10)</f>
        <v>0</v>
      </c>
      <c r="O10" s="10">
        <f t="shared" ref="O10:O16" si="3">N10/COLUMNS(B10:M10)</f>
        <v>0</v>
      </c>
    </row>
    <row r="11" spans="1:15" ht="15.5" x14ac:dyDescent="0.35">
      <c r="A11" s="22" t="s">
        <v>22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>
        <f t="shared" si="2"/>
        <v>0</v>
      </c>
      <c r="O11" s="10">
        <f t="shared" si="3"/>
        <v>0</v>
      </c>
    </row>
    <row r="12" spans="1:15" ht="15.5" x14ac:dyDescent="0.35">
      <c r="A12" s="22" t="s">
        <v>23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>
        <f t="shared" si="2"/>
        <v>0</v>
      </c>
      <c r="O12" s="10">
        <f t="shared" si="3"/>
        <v>0</v>
      </c>
    </row>
    <row r="13" spans="1:15" ht="15.5" x14ac:dyDescent="0.35">
      <c r="A13" s="22" t="s">
        <v>24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0">
        <f t="shared" si="2"/>
        <v>0</v>
      </c>
      <c r="O13" s="10">
        <f t="shared" si="3"/>
        <v>0</v>
      </c>
    </row>
    <row r="14" spans="1:15" ht="15.5" x14ac:dyDescent="0.35">
      <c r="A14" s="22" t="s">
        <v>25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">
        <f t="shared" si="2"/>
        <v>0</v>
      </c>
      <c r="O14" s="10">
        <f t="shared" si="3"/>
        <v>0</v>
      </c>
    </row>
    <row r="15" spans="1:15" ht="15.5" x14ac:dyDescent="0.35">
      <c r="A15" s="22" t="s">
        <v>26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10">
        <f t="shared" si="2"/>
        <v>0</v>
      </c>
      <c r="O15" s="10">
        <f t="shared" si="3"/>
        <v>0</v>
      </c>
    </row>
    <row r="16" spans="1:15" ht="15.5" x14ac:dyDescent="0.35">
      <c r="A16" s="22" t="s">
        <v>27</v>
      </c>
      <c r="B16" s="9"/>
      <c r="C16" s="9">
        <v>677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10">
        <f t="shared" si="2"/>
        <v>677</v>
      </c>
      <c r="O16" s="10">
        <f t="shared" si="3"/>
        <v>56.416666666666664</v>
      </c>
    </row>
    <row r="17" spans="1:15" ht="15.5" x14ac:dyDescent="0.35">
      <c r="A17" s="24" t="str">
        <f>"Total " &amp; Table2[[#Headers],[INCOME]]</f>
        <v>Total INCOME</v>
      </c>
      <c r="B17" s="11">
        <f>SUBTOTAL(109,Table2[JAN])</f>
        <v>0</v>
      </c>
      <c r="C17" s="11">
        <f>SUBTOTAL(109,Table2[FEB])</f>
        <v>677</v>
      </c>
      <c r="D17" s="11">
        <f>SUBTOTAL(109,Table2[MAR])</f>
        <v>0</v>
      </c>
      <c r="E17" s="11">
        <f>SUBTOTAL(109,Table2[APR])</f>
        <v>0</v>
      </c>
      <c r="F17" s="11">
        <f>SUBTOTAL(109,Table2[MAY])</f>
        <v>0</v>
      </c>
      <c r="G17" s="11">
        <f>SUBTOTAL(109,Table2[JUN])</f>
        <v>0</v>
      </c>
      <c r="H17" s="11">
        <f>SUBTOTAL(109,Table2[JUL])</f>
        <v>0</v>
      </c>
      <c r="I17" s="11">
        <f>SUBTOTAL(109,Table2[AUG])</f>
        <v>0</v>
      </c>
      <c r="J17" s="11">
        <f>SUBTOTAL(109,Table2[SEP])</f>
        <v>0</v>
      </c>
      <c r="K17" s="11">
        <f>SUBTOTAL(109,Table2[OCT])</f>
        <v>0</v>
      </c>
      <c r="L17" s="11">
        <f>SUBTOTAL(109,Table2[NOV])</f>
        <v>0</v>
      </c>
      <c r="M17" s="11">
        <f>SUBTOTAL(109,Table2[DEC])</f>
        <v>0</v>
      </c>
      <c r="N17" s="12">
        <f>SUBTOTAL(109,Table2[Total])</f>
        <v>677</v>
      </c>
      <c r="O17" s="12">
        <f>Table2[[#Totals],[Total]]/COLUMNS(Table2[[#Totals],[JAN]:[DEC]])</f>
        <v>56.416666666666664</v>
      </c>
    </row>
    <row r="18" spans="1:15" ht="15.5" x14ac:dyDescent="0.35">
      <c r="A18" s="25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 ht="15" x14ac:dyDescent="0.35">
      <c r="A19" s="21" t="s">
        <v>28</v>
      </c>
      <c r="B19" s="7" t="s">
        <v>2</v>
      </c>
      <c r="C19" s="7" t="s">
        <v>3</v>
      </c>
      <c r="D19" s="7" t="s">
        <v>4</v>
      </c>
      <c r="E19" s="7" t="s">
        <v>5</v>
      </c>
      <c r="F19" s="7" t="s">
        <v>6</v>
      </c>
      <c r="G19" s="7" t="s">
        <v>7</v>
      </c>
      <c r="H19" s="7" t="s">
        <v>8</v>
      </c>
      <c r="I19" s="7" t="s">
        <v>9</v>
      </c>
      <c r="J19" s="7" t="s">
        <v>10</v>
      </c>
      <c r="K19" s="7" t="s">
        <v>11</v>
      </c>
      <c r="L19" s="7" t="s">
        <v>12</v>
      </c>
      <c r="M19" s="7" t="s">
        <v>13</v>
      </c>
      <c r="N19" s="8" t="s">
        <v>14</v>
      </c>
      <c r="O19" s="8" t="s">
        <v>15</v>
      </c>
    </row>
    <row r="20" spans="1:15" ht="15.5" x14ac:dyDescent="0.35">
      <c r="A20" s="22" t="s">
        <v>29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">
        <f>SUM(B20:M20)</f>
        <v>0</v>
      </c>
      <c r="O20" s="10">
        <f t="shared" ref="O20:O32" si="4">N20/COLUMNS(B20:M20)</f>
        <v>0</v>
      </c>
    </row>
    <row r="21" spans="1:15" ht="15.5" x14ac:dyDescent="0.35">
      <c r="A21" s="22" t="s">
        <v>99</v>
      </c>
      <c r="B21" s="9">
        <v>900</v>
      </c>
      <c r="C21" s="9"/>
      <c r="D21" s="9"/>
      <c r="E21" s="9"/>
      <c r="F21" s="9"/>
      <c r="G21" s="9"/>
      <c r="H21" s="9"/>
      <c r="I21" s="9"/>
      <c r="J21" s="9">
        <v>789</v>
      </c>
      <c r="K21" s="9"/>
      <c r="L21" s="9"/>
      <c r="M21" s="9"/>
      <c r="N21" s="10">
        <f t="shared" ref="N21:N32" si="5">SUM(B21:M21)</f>
        <v>1689</v>
      </c>
      <c r="O21" s="10">
        <f t="shared" si="4"/>
        <v>140.75</v>
      </c>
    </row>
    <row r="22" spans="1:15" ht="15.5" x14ac:dyDescent="0.35">
      <c r="A22" s="22" t="s">
        <v>30</v>
      </c>
      <c r="B22" s="9">
        <v>890</v>
      </c>
      <c r="C22" s="9"/>
      <c r="D22" s="9"/>
      <c r="E22" s="9"/>
      <c r="F22" s="9"/>
      <c r="G22" s="9"/>
      <c r="H22" s="9">
        <v>780</v>
      </c>
      <c r="I22" s="9"/>
      <c r="J22" s="9">
        <v>75476</v>
      </c>
      <c r="K22" s="9"/>
      <c r="L22" s="9"/>
      <c r="M22" s="9"/>
      <c r="N22" s="10">
        <f t="shared" si="5"/>
        <v>77146</v>
      </c>
      <c r="O22" s="10">
        <f t="shared" si="4"/>
        <v>6428.833333333333</v>
      </c>
    </row>
    <row r="23" spans="1:15" ht="15.5" x14ac:dyDescent="0.35">
      <c r="A23" s="22" t="s">
        <v>31</v>
      </c>
      <c r="B23" s="9">
        <v>890</v>
      </c>
      <c r="C23" s="9"/>
      <c r="D23" s="9"/>
      <c r="E23" s="9"/>
      <c r="F23" s="9"/>
      <c r="G23" s="9"/>
      <c r="H23" s="9">
        <v>780</v>
      </c>
      <c r="I23" s="9"/>
      <c r="J23" s="9">
        <v>8785</v>
      </c>
      <c r="K23" s="9"/>
      <c r="L23" s="9"/>
      <c r="M23" s="9"/>
      <c r="N23" s="10">
        <f t="shared" si="5"/>
        <v>10455</v>
      </c>
      <c r="O23" s="10">
        <f t="shared" si="4"/>
        <v>871.25</v>
      </c>
    </row>
    <row r="24" spans="1:15" ht="15.5" x14ac:dyDescent="0.35">
      <c r="A24" s="22" t="s">
        <v>32</v>
      </c>
      <c r="B24" s="9">
        <v>780</v>
      </c>
      <c r="C24" s="9"/>
      <c r="D24" s="9"/>
      <c r="E24" s="9"/>
      <c r="F24" s="9"/>
      <c r="G24" s="9"/>
      <c r="H24" s="9">
        <v>7878</v>
      </c>
      <c r="I24" s="9"/>
      <c r="J24" s="9"/>
      <c r="K24" s="9"/>
      <c r="L24" s="9"/>
      <c r="M24" s="9"/>
      <c r="N24" s="10">
        <f t="shared" si="5"/>
        <v>8658</v>
      </c>
      <c r="O24" s="10">
        <f t="shared" si="4"/>
        <v>721.5</v>
      </c>
    </row>
    <row r="25" spans="1:15" ht="15.5" x14ac:dyDescent="0.35">
      <c r="A25" s="22" t="s">
        <v>33</v>
      </c>
      <c r="B25" s="9">
        <v>789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0">
        <f t="shared" si="5"/>
        <v>789</v>
      </c>
      <c r="O25" s="10">
        <f t="shared" si="4"/>
        <v>65.75</v>
      </c>
    </row>
    <row r="26" spans="1:15" ht="15.5" x14ac:dyDescent="0.35">
      <c r="A26" s="22" t="s">
        <v>34</v>
      </c>
      <c r="B26" s="9">
        <v>7676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>
        <f t="shared" si="5"/>
        <v>7676</v>
      </c>
      <c r="O26" s="10">
        <f t="shared" si="4"/>
        <v>639.66666666666663</v>
      </c>
    </row>
    <row r="27" spans="1:15" ht="15.5" x14ac:dyDescent="0.35">
      <c r="A27" s="22" t="s">
        <v>35</v>
      </c>
      <c r="B27" s="9">
        <v>787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0">
        <f t="shared" si="5"/>
        <v>787</v>
      </c>
      <c r="O27" s="10">
        <f t="shared" si="4"/>
        <v>65.583333333333329</v>
      </c>
    </row>
    <row r="28" spans="1:15" ht="15.5" x14ac:dyDescent="0.35">
      <c r="A28" s="22" t="s">
        <v>36</v>
      </c>
      <c r="B28" s="9">
        <v>98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0">
        <f t="shared" si="5"/>
        <v>98</v>
      </c>
      <c r="O28" s="10">
        <f t="shared" si="4"/>
        <v>8.1666666666666661</v>
      </c>
    </row>
    <row r="29" spans="1:15" ht="15.5" x14ac:dyDescent="0.35">
      <c r="A29" s="22" t="s">
        <v>37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10">
        <f t="shared" si="5"/>
        <v>0</v>
      </c>
      <c r="O29" s="10">
        <f t="shared" si="4"/>
        <v>0</v>
      </c>
    </row>
    <row r="30" spans="1:15" ht="15.5" x14ac:dyDescent="0.35">
      <c r="A30" s="22" t="s">
        <v>38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10">
        <f t="shared" si="5"/>
        <v>0</v>
      </c>
      <c r="O30" s="10">
        <f t="shared" si="4"/>
        <v>0</v>
      </c>
    </row>
    <row r="31" spans="1:15" ht="15.5" x14ac:dyDescent="0.35">
      <c r="A31" s="22" t="s">
        <v>39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10">
        <f t="shared" si="5"/>
        <v>0</v>
      </c>
      <c r="O31" s="10">
        <f t="shared" si="4"/>
        <v>0</v>
      </c>
    </row>
    <row r="32" spans="1:15" ht="15.5" x14ac:dyDescent="0.35">
      <c r="A32" s="22" t="s">
        <v>27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10">
        <f t="shared" si="5"/>
        <v>0</v>
      </c>
      <c r="O32" s="10">
        <f t="shared" si="4"/>
        <v>0</v>
      </c>
    </row>
    <row r="33" spans="1:15" ht="15.5" x14ac:dyDescent="0.35">
      <c r="A33" s="24" t="str">
        <f>"Total "&amp;Table3[[#Headers],[HOME EXPENSES]]</f>
        <v>Total HOME EXPENSES</v>
      </c>
      <c r="B33" s="11">
        <f>SUBTOTAL(109,Table3[JAN])</f>
        <v>12810</v>
      </c>
      <c r="C33" s="11">
        <f>SUBTOTAL(109,Table3[FEB])</f>
        <v>0</v>
      </c>
      <c r="D33" s="11">
        <f>SUBTOTAL(109,Table3[MAR])</f>
        <v>0</v>
      </c>
      <c r="E33" s="11">
        <f>SUBTOTAL(109,Table3[APR])</f>
        <v>0</v>
      </c>
      <c r="F33" s="11">
        <f>SUBTOTAL(109,Table3[MAY])</f>
        <v>0</v>
      </c>
      <c r="G33" s="11">
        <f>SUBTOTAL(109,Table3[JUN])</f>
        <v>0</v>
      </c>
      <c r="H33" s="11">
        <f>SUBTOTAL(109,Table3[JUL])</f>
        <v>9438</v>
      </c>
      <c r="I33" s="11">
        <f>SUBTOTAL(109,Table3[AUG])</f>
        <v>0</v>
      </c>
      <c r="J33" s="11">
        <f>SUBTOTAL(109,Table3[SEP])</f>
        <v>85050</v>
      </c>
      <c r="K33" s="11">
        <f>SUBTOTAL(109,Table3[OCT])</f>
        <v>0</v>
      </c>
      <c r="L33" s="11">
        <f>SUBTOTAL(109,Table3[NOV])</f>
        <v>0</v>
      </c>
      <c r="M33" s="11">
        <f>SUBTOTAL(109,Table3[DEC])</f>
        <v>0</v>
      </c>
      <c r="N33" s="12">
        <f>SUBTOTAL(109,Table3[Total])</f>
        <v>107298</v>
      </c>
      <c r="O33" s="12">
        <f>Table3[[#Totals],[Total]]/COLUMNS(Table3[[#Totals],[JAN]:[DEC]])</f>
        <v>8941.5</v>
      </c>
    </row>
    <row r="34" spans="1:15" ht="15.5" x14ac:dyDescent="0.35">
      <c r="A34" s="26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5" x14ac:dyDescent="0.35">
      <c r="A35" s="21" t="s">
        <v>40</v>
      </c>
      <c r="B35" s="7" t="s">
        <v>2</v>
      </c>
      <c r="C35" s="7" t="s">
        <v>3</v>
      </c>
      <c r="D35" s="7" t="s">
        <v>4</v>
      </c>
      <c r="E35" s="7" t="s">
        <v>5</v>
      </c>
      <c r="F35" s="7" t="s">
        <v>6</v>
      </c>
      <c r="G35" s="7" t="s">
        <v>7</v>
      </c>
      <c r="H35" s="7" t="s">
        <v>8</v>
      </c>
      <c r="I35" s="7" t="s">
        <v>9</v>
      </c>
      <c r="J35" s="7" t="s">
        <v>10</v>
      </c>
      <c r="K35" s="7" t="s">
        <v>11</v>
      </c>
      <c r="L35" s="7" t="s">
        <v>12</v>
      </c>
      <c r="M35" s="7" t="s">
        <v>13</v>
      </c>
      <c r="N35" s="8" t="s">
        <v>14</v>
      </c>
      <c r="O35" s="8" t="s">
        <v>15</v>
      </c>
    </row>
    <row r="36" spans="1:15" ht="15.5" x14ac:dyDescent="0.35">
      <c r="A36" s="22" t="s">
        <v>41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10">
        <f>SUM(B36:M36)</f>
        <v>0</v>
      </c>
      <c r="O36" s="10">
        <f t="shared" ref="O36:O41" si="6">N36/COLUMNS(B36:M36)</f>
        <v>0</v>
      </c>
    </row>
    <row r="37" spans="1:15" ht="15.5" x14ac:dyDescent="0.35">
      <c r="A37" s="22" t="s">
        <v>42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10">
        <f t="shared" ref="N37:N94" si="7">SUM(B37:M37)</f>
        <v>0</v>
      </c>
      <c r="O37" s="10">
        <f t="shared" si="6"/>
        <v>0</v>
      </c>
    </row>
    <row r="38" spans="1:15" ht="15.5" x14ac:dyDescent="0.35">
      <c r="A38" s="22" t="s">
        <v>43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0">
        <f t="shared" si="7"/>
        <v>0</v>
      </c>
      <c r="O38" s="10">
        <f t="shared" si="6"/>
        <v>0</v>
      </c>
    </row>
    <row r="39" spans="1:15" ht="15.5" x14ac:dyDescent="0.35">
      <c r="A39" s="22" t="s">
        <v>44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10">
        <f t="shared" si="7"/>
        <v>0</v>
      </c>
      <c r="O39" s="10">
        <f t="shared" si="6"/>
        <v>0</v>
      </c>
    </row>
    <row r="40" spans="1:15" ht="15.5" x14ac:dyDescent="0.35">
      <c r="A40" s="22" t="s">
        <v>45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0">
        <f t="shared" si="7"/>
        <v>0</v>
      </c>
      <c r="O40" s="10">
        <f t="shared" si="6"/>
        <v>0</v>
      </c>
    </row>
    <row r="41" spans="1:15" ht="15.5" x14ac:dyDescent="0.35">
      <c r="A41" s="22" t="s">
        <v>46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10">
        <f t="shared" si="7"/>
        <v>0</v>
      </c>
      <c r="O41" s="10">
        <f t="shared" si="6"/>
        <v>0</v>
      </c>
    </row>
    <row r="42" spans="1:15" ht="15.5" x14ac:dyDescent="0.35">
      <c r="A42" s="22" t="s">
        <v>27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0">
        <f t="shared" si="7"/>
        <v>0</v>
      </c>
      <c r="O42" s="10">
        <f>N42/COLUMNS(B42:M42)</f>
        <v>0</v>
      </c>
    </row>
    <row r="43" spans="1:15" ht="15.5" x14ac:dyDescent="0.35">
      <c r="A43" s="24" t="str">
        <f>"Total "&amp;Table4[[#Headers],[TRANSPORTATION]]</f>
        <v>Total TRANSPORTATION</v>
      </c>
      <c r="B43" s="11">
        <f>SUBTOTAL(109,Table4[JAN])</f>
        <v>0</v>
      </c>
      <c r="C43" s="11">
        <f>SUBTOTAL(109,Table4[FEB])</f>
        <v>0</v>
      </c>
      <c r="D43" s="11">
        <f>SUBTOTAL(109,Table4[MAR])</f>
        <v>0</v>
      </c>
      <c r="E43" s="11">
        <f>SUBTOTAL(109,Table4[APR])</f>
        <v>0</v>
      </c>
      <c r="F43" s="11">
        <f>SUBTOTAL(109,Table4[MAY])</f>
        <v>0</v>
      </c>
      <c r="G43" s="11">
        <f>SUBTOTAL(109,Table4[JUN])</f>
        <v>0</v>
      </c>
      <c r="H43" s="11">
        <f>SUBTOTAL(109,Table4[JUL])</f>
        <v>0</v>
      </c>
      <c r="I43" s="11">
        <f>SUBTOTAL(109,Table4[AUG])</f>
        <v>0</v>
      </c>
      <c r="J43" s="11">
        <f>SUBTOTAL(109,Table4[SEP])</f>
        <v>0</v>
      </c>
      <c r="K43" s="11">
        <f>SUBTOTAL(109,Table4[OCT])</f>
        <v>0</v>
      </c>
      <c r="L43" s="11">
        <f>SUBTOTAL(109,Table4[NOV])</f>
        <v>0</v>
      </c>
      <c r="M43" s="11">
        <f>SUBTOTAL(109,Table4[DEC])</f>
        <v>0</v>
      </c>
      <c r="N43" s="12">
        <f>SUBTOTAL(109,Table4[Total])</f>
        <v>0</v>
      </c>
      <c r="O43" s="12">
        <f>Table4[[#Totals],[Total]]/COLUMNS(Table4[[#Totals],[JAN]:[DEC]])</f>
        <v>0</v>
      </c>
    </row>
    <row r="44" spans="1:15" ht="15.5" x14ac:dyDescent="0.35">
      <c r="A44" s="26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5"/>
      <c r="O44" s="15"/>
    </row>
    <row r="45" spans="1:15" ht="15" x14ac:dyDescent="0.35">
      <c r="A45" s="21" t="s">
        <v>47</v>
      </c>
      <c r="B45" s="7" t="s">
        <v>2</v>
      </c>
      <c r="C45" s="7" t="s">
        <v>3</v>
      </c>
      <c r="D45" s="7" t="s">
        <v>4</v>
      </c>
      <c r="E45" s="7" t="s">
        <v>5</v>
      </c>
      <c r="F45" s="7" t="s">
        <v>6</v>
      </c>
      <c r="G45" s="7" t="s">
        <v>7</v>
      </c>
      <c r="H45" s="7" t="s">
        <v>8</v>
      </c>
      <c r="I45" s="7" t="s">
        <v>9</v>
      </c>
      <c r="J45" s="7" t="s">
        <v>10</v>
      </c>
      <c r="K45" s="7" t="s">
        <v>11</v>
      </c>
      <c r="L45" s="7" t="s">
        <v>12</v>
      </c>
      <c r="M45" s="7" t="s">
        <v>13</v>
      </c>
      <c r="N45" s="8" t="s">
        <v>14</v>
      </c>
      <c r="O45" s="8" t="s">
        <v>15</v>
      </c>
    </row>
    <row r="46" spans="1:15" ht="15.5" x14ac:dyDescent="0.35">
      <c r="A46" s="22" t="s">
        <v>48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10">
        <f t="shared" si="7"/>
        <v>0</v>
      </c>
      <c r="O46" s="10">
        <f t="shared" ref="O46:O51" si="8">N46/COLUMNS(B46:M46)</f>
        <v>0</v>
      </c>
    </row>
    <row r="47" spans="1:15" ht="15.5" x14ac:dyDescent="0.35">
      <c r="A47" s="22" t="s">
        <v>49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10">
        <f t="shared" si="7"/>
        <v>0</v>
      </c>
      <c r="O47" s="10">
        <f t="shared" si="8"/>
        <v>0</v>
      </c>
    </row>
    <row r="48" spans="1:15" ht="15.5" x14ac:dyDescent="0.35">
      <c r="A48" s="22" t="s">
        <v>50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0">
        <f t="shared" si="7"/>
        <v>0</v>
      </c>
      <c r="O48" s="10">
        <f t="shared" si="8"/>
        <v>0</v>
      </c>
    </row>
    <row r="49" spans="1:15" ht="15.5" x14ac:dyDescent="0.35">
      <c r="A49" s="22" t="s">
        <v>51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10">
        <f t="shared" si="7"/>
        <v>0</v>
      </c>
      <c r="O49" s="10">
        <f t="shared" si="8"/>
        <v>0</v>
      </c>
    </row>
    <row r="50" spans="1:15" ht="15.5" x14ac:dyDescent="0.35">
      <c r="A50" s="22" t="s">
        <v>52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0">
        <f t="shared" si="7"/>
        <v>0</v>
      </c>
      <c r="O50" s="10">
        <f t="shared" si="8"/>
        <v>0</v>
      </c>
    </row>
    <row r="51" spans="1:15" ht="15.5" x14ac:dyDescent="0.35">
      <c r="A51" s="22" t="s">
        <v>53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10">
        <f t="shared" si="7"/>
        <v>0</v>
      </c>
      <c r="O51" s="10">
        <f t="shared" si="8"/>
        <v>0</v>
      </c>
    </row>
    <row r="52" spans="1:15" ht="15.5" x14ac:dyDescent="0.35">
      <c r="A52" s="22" t="s">
        <v>27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0">
        <f t="shared" si="7"/>
        <v>0</v>
      </c>
      <c r="O52" s="10">
        <f>N52/COLUMNS(B52:M52)</f>
        <v>0</v>
      </c>
    </row>
    <row r="53" spans="1:15" ht="15.5" x14ac:dyDescent="0.35">
      <c r="A53" s="24" t="str">
        <f>"Total "&amp;Table5[[#Headers],[HEALTH]]</f>
        <v>Total HEALTH</v>
      </c>
      <c r="B53" s="11">
        <f>SUBTOTAL(109,Table5[JAN])</f>
        <v>0</v>
      </c>
      <c r="C53" s="11">
        <f>SUBTOTAL(109,Table5[FEB])</f>
        <v>0</v>
      </c>
      <c r="D53" s="11">
        <f>SUBTOTAL(109,Table5[MAR])</f>
        <v>0</v>
      </c>
      <c r="E53" s="11">
        <f>SUBTOTAL(109,Table5[APR])</f>
        <v>0</v>
      </c>
      <c r="F53" s="11">
        <f>SUBTOTAL(109,Table5[MAY])</f>
        <v>0</v>
      </c>
      <c r="G53" s="11">
        <f>SUBTOTAL(109,Table5[JUN])</f>
        <v>0</v>
      </c>
      <c r="H53" s="11">
        <f>SUBTOTAL(109,Table5[JUL])</f>
        <v>0</v>
      </c>
      <c r="I53" s="11">
        <f>SUBTOTAL(109,Table5[AUG])</f>
        <v>0</v>
      </c>
      <c r="J53" s="11">
        <f>SUBTOTAL(109,Table5[SEP])</f>
        <v>0</v>
      </c>
      <c r="K53" s="11">
        <f>SUBTOTAL(109,Table5[OCT])</f>
        <v>0</v>
      </c>
      <c r="L53" s="11">
        <f>SUBTOTAL(109,Table5[NOV])</f>
        <v>0</v>
      </c>
      <c r="M53" s="11">
        <f>SUBTOTAL(109,Table5[DEC])</f>
        <v>0</v>
      </c>
      <c r="N53" s="11">
        <f>SUBTOTAL(109,Table5[Total])</f>
        <v>0</v>
      </c>
      <c r="O53" s="12">
        <f>Table5[[#Totals],[Total]]/COLUMNS(Table5[[#Totals],[JAN]:[DEC]])</f>
        <v>0</v>
      </c>
    </row>
    <row r="54" spans="1:15" ht="15.5" x14ac:dyDescent="0.35">
      <c r="A54" s="2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5"/>
      <c r="O54" s="15"/>
    </row>
    <row r="55" spans="1:15" ht="15" x14ac:dyDescent="0.35">
      <c r="A55" s="21" t="s">
        <v>54</v>
      </c>
      <c r="B55" s="7" t="s">
        <v>2</v>
      </c>
      <c r="C55" s="7" t="s">
        <v>3</v>
      </c>
      <c r="D55" s="7" t="s">
        <v>4</v>
      </c>
      <c r="E55" s="7" t="s">
        <v>5</v>
      </c>
      <c r="F55" s="7" t="s">
        <v>6</v>
      </c>
      <c r="G55" s="7" t="s">
        <v>7</v>
      </c>
      <c r="H55" s="7" t="s">
        <v>8</v>
      </c>
      <c r="I55" s="7" t="s">
        <v>9</v>
      </c>
      <c r="J55" s="7" t="s">
        <v>10</v>
      </c>
      <c r="K55" s="7" t="s">
        <v>11</v>
      </c>
      <c r="L55" s="7" t="s">
        <v>12</v>
      </c>
      <c r="M55" s="7" t="s">
        <v>13</v>
      </c>
      <c r="N55" s="8" t="s">
        <v>14</v>
      </c>
      <c r="O55" s="8" t="s">
        <v>15</v>
      </c>
    </row>
    <row r="56" spans="1:15" ht="15.5" x14ac:dyDescent="0.35">
      <c r="A56" s="22" t="s">
        <v>55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10">
        <f t="shared" si="7"/>
        <v>0</v>
      </c>
      <c r="O56" s="10">
        <f>N56/COLUMNS(B56:M56)</f>
        <v>0</v>
      </c>
    </row>
    <row r="57" spans="1:15" ht="15.5" x14ac:dyDescent="0.35">
      <c r="A57" s="22" t="s">
        <v>56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10">
        <f t="shared" si="7"/>
        <v>0</v>
      </c>
      <c r="O57" s="10">
        <f>N57/COLUMNS(B57:M57)</f>
        <v>0</v>
      </c>
    </row>
    <row r="58" spans="1:15" ht="15.5" x14ac:dyDescent="0.35">
      <c r="A58" s="22" t="s">
        <v>57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10">
        <f t="shared" si="7"/>
        <v>0</v>
      </c>
      <c r="O58" s="10">
        <f>N58/COLUMNS(B58:M58)</f>
        <v>0</v>
      </c>
    </row>
    <row r="59" spans="1:15" ht="15.5" x14ac:dyDescent="0.35">
      <c r="A59" s="22" t="s">
        <v>27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10">
        <f t="shared" si="7"/>
        <v>0</v>
      </c>
      <c r="O59" s="10">
        <f>N59/COLUMNS(B59:M59)</f>
        <v>0</v>
      </c>
    </row>
    <row r="60" spans="1:15" ht="15.5" x14ac:dyDescent="0.35">
      <c r="A60" s="24" t="str">
        <f>"Total " &amp; Table6[[#Headers],[CHARITY/GIFTS]]</f>
        <v>Total CHARITY/GIFTS</v>
      </c>
      <c r="B60" s="11">
        <f>SUBTOTAL(109,Table6[JAN])</f>
        <v>0</v>
      </c>
      <c r="C60" s="11">
        <f>SUBTOTAL(109,Table6[FEB])</f>
        <v>0</v>
      </c>
      <c r="D60" s="11">
        <f>SUBTOTAL(109,Table6[MAR])</f>
        <v>0</v>
      </c>
      <c r="E60" s="11">
        <f>SUBTOTAL(109,Table6[APR])</f>
        <v>0</v>
      </c>
      <c r="F60" s="11">
        <f>SUBTOTAL(109,Table6[MAY])</f>
        <v>0</v>
      </c>
      <c r="G60" s="11">
        <f>SUBTOTAL(109,Table6[JUN])</f>
        <v>0</v>
      </c>
      <c r="H60" s="11">
        <f>SUBTOTAL(109,Table6[JUL])</f>
        <v>0</v>
      </c>
      <c r="I60" s="11">
        <f>SUBTOTAL(109,Table6[AUG])</f>
        <v>0</v>
      </c>
      <c r="J60" s="11">
        <f>SUBTOTAL(109,Table6[SEP])</f>
        <v>0</v>
      </c>
      <c r="K60" s="11">
        <f>SUBTOTAL(109,Table6[OCT])</f>
        <v>0</v>
      </c>
      <c r="L60" s="11">
        <f>SUBTOTAL(109,Table6[NOV])</f>
        <v>0</v>
      </c>
      <c r="M60" s="11">
        <f>SUBTOTAL(109,Table6[DEC])</f>
        <v>0</v>
      </c>
      <c r="N60" s="12">
        <f>SUBTOTAL(109,Table6[Total])</f>
        <v>0</v>
      </c>
      <c r="O60" s="12">
        <f>Table6[[#Totals],[Total]]/COLUMNS(Table6[[#Totals],[JAN]:[DEC]])</f>
        <v>0</v>
      </c>
    </row>
    <row r="61" spans="1:15" ht="15.5" x14ac:dyDescent="0.35">
      <c r="A61" s="2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15"/>
      <c r="O61" s="15"/>
    </row>
    <row r="62" spans="1:15" ht="15" x14ac:dyDescent="0.35">
      <c r="A62" s="21" t="s">
        <v>58</v>
      </c>
      <c r="B62" s="7" t="s">
        <v>2</v>
      </c>
      <c r="C62" s="7" t="s">
        <v>3</v>
      </c>
      <c r="D62" s="7" t="s">
        <v>4</v>
      </c>
      <c r="E62" s="7" t="s">
        <v>5</v>
      </c>
      <c r="F62" s="7" t="s">
        <v>6</v>
      </c>
      <c r="G62" s="7" t="s">
        <v>7</v>
      </c>
      <c r="H62" s="7" t="s">
        <v>8</v>
      </c>
      <c r="I62" s="7" t="s">
        <v>9</v>
      </c>
      <c r="J62" s="7" t="s">
        <v>10</v>
      </c>
      <c r="K62" s="7" t="s">
        <v>11</v>
      </c>
      <c r="L62" s="7" t="s">
        <v>12</v>
      </c>
      <c r="M62" s="7" t="s">
        <v>13</v>
      </c>
      <c r="N62" s="8" t="s">
        <v>14</v>
      </c>
      <c r="O62" s="8" t="s">
        <v>15</v>
      </c>
    </row>
    <row r="63" spans="1:15" ht="15.5" x14ac:dyDescent="0.35">
      <c r="A63" s="22" t="s">
        <v>59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10">
        <f t="shared" si="7"/>
        <v>0</v>
      </c>
      <c r="O63" s="10">
        <f t="shared" ref="O63:O70" si="9">N63/COLUMNS(B63:M63)</f>
        <v>0</v>
      </c>
    </row>
    <row r="64" spans="1:15" ht="15.5" x14ac:dyDescent="0.35">
      <c r="A64" s="22" t="s">
        <v>60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10">
        <f t="shared" si="7"/>
        <v>0</v>
      </c>
      <c r="O64" s="10">
        <f t="shared" si="9"/>
        <v>0</v>
      </c>
    </row>
    <row r="65" spans="1:15" ht="15.5" x14ac:dyDescent="0.35">
      <c r="A65" s="22" t="s">
        <v>61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10">
        <f t="shared" si="7"/>
        <v>0</v>
      </c>
      <c r="O65" s="10">
        <f t="shared" si="9"/>
        <v>0</v>
      </c>
    </row>
    <row r="66" spans="1:15" ht="15.5" x14ac:dyDescent="0.35">
      <c r="A66" s="22" t="s">
        <v>62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10">
        <f t="shared" si="7"/>
        <v>0</v>
      </c>
      <c r="O66" s="10">
        <f t="shared" si="9"/>
        <v>0</v>
      </c>
    </row>
    <row r="67" spans="1:15" ht="15.5" x14ac:dyDescent="0.35">
      <c r="A67" s="22" t="s">
        <v>63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10">
        <f t="shared" si="7"/>
        <v>0</v>
      </c>
      <c r="O67" s="10">
        <f t="shared" si="9"/>
        <v>0</v>
      </c>
    </row>
    <row r="68" spans="1:15" ht="15.5" x14ac:dyDescent="0.35">
      <c r="A68" s="22" t="s">
        <v>64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10">
        <f t="shared" si="7"/>
        <v>0</v>
      </c>
      <c r="O68" s="10">
        <f t="shared" si="9"/>
        <v>0</v>
      </c>
    </row>
    <row r="69" spans="1:15" ht="15.5" x14ac:dyDescent="0.35">
      <c r="A69" s="22" t="s">
        <v>65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10">
        <f t="shared" si="7"/>
        <v>0</v>
      </c>
      <c r="O69" s="10">
        <f t="shared" si="9"/>
        <v>0</v>
      </c>
    </row>
    <row r="70" spans="1:15" ht="15.5" x14ac:dyDescent="0.35">
      <c r="A70" s="22" t="s">
        <v>66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>
        <f>SUM(B70:M70)</f>
        <v>0</v>
      </c>
      <c r="O70" s="10">
        <f t="shared" si="9"/>
        <v>0</v>
      </c>
    </row>
    <row r="71" spans="1:15" ht="15.5" x14ac:dyDescent="0.35">
      <c r="A71" s="22" t="s">
        <v>27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>
        <f t="shared" si="7"/>
        <v>0</v>
      </c>
      <c r="O71" s="10">
        <f>N71/COLUMNS(B71:M71)</f>
        <v>0</v>
      </c>
    </row>
    <row r="72" spans="1:15" ht="15.5" x14ac:dyDescent="0.35">
      <c r="A72" s="24" t="str">
        <f>"Total " &amp; Table7[[#Headers],[DAILY LIVING]]</f>
        <v>Total DAILY LIVING</v>
      </c>
      <c r="B72" s="11">
        <f>SUBTOTAL(109,Table7[JAN])</f>
        <v>0</v>
      </c>
      <c r="C72" s="11">
        <f>SUBTOTAL(109,Table7[FEB])</f>
        <v>0</v>
      </c>
      <c r="D72" s="11">
        <f>SUBTOTAL(109,Table7[MAR])</f>
        <v>0</v>
      </c>
      <c r="E72" s="11">
        <f>SUBTOTAL(109,Table7[APR])</f>
        <v>0</v>
      </c>
      <c r="F72" s="11">
        <f>SUBTOTAL(109,Table7[MAY])</f>
        <v>0</v>
      </c>
      <c r="G72" s="11">
        <f>SUBTOTAL(109,Table7[JUN])</f>
        <v>0</v>
      </c>
      <c r="H72" s="11">
        <f>SUBTOTAL(109,Table7[JUL])</f>
        <v>0</v>
      </c>
      <c r="I72" s="11">
        <f>SUBTOTAL(109,Table7[AUG])</f>
        <v>0</v>
      </c>
      <c r="J72" s="11">
        <f>SUBTOTAL(109,Table7[SEP])</f>
        <v>0</v>
      </c>
      <c r="K72" s="11">
        <f>SUBTOTAL(109,Table7[OCT])</f>
        <v>0</v>
      </c>
      <c r="L72" s="11">
        <f>SUBTOTAL(109,Table7[NOV])</f>
        <v>0</v>
      </c>
      <c r="M72" s="11">
        <f>SUBTOTAL(109,Table7[DEC])</f>
        <v>0</v>
      </c>
      <c r="N72" s="12">
        <f>SUBTOTAL(109,Table7[Total])</f>
        <v>0</v>
      </c>
      <c r="O72" s="12">
        <f>Table7[[#Totals],[Total]]/COLUMNS(Table7[[#Totals],[JAN]:[DEC]])</f>
        <v>0</v>
      </c>
    </row>
    <row r="73" spans="1:15" ht="15.5" x14ac:dyDescent="0.35">
      <c r="A73" s="26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5"/>
      <c r="O73" s="15"/>
    </row>
    <row r="74" spans="1:15" ht="15" x14ac:dyDescent="0.35">
      <c r="A74" s="21" t="s">
        <v>67</v>
      </c>
      <c r="B74" s="7" t="s">
        <v>2</v>
      </c>
      <c r="C74" s="7" t="s">
        <v>3</v>
      </c>
      <c r="D74" s="7" t="s">
        <v>4</v>
      </c>
      <c r="E74" s="7" t="s">
        <v>5</v>
      </c>
      <c r="F74" s="7" t="s">
        <v>6</v>
      </c>
      <c r="G74" s="7" t="s">
        <v>7</v>
      </c>
      <c r="H74" s="7" t="s">
        <v>8</v>
      </c>
      <c r="I74" s="7" t="s">
        <v>9</v>
      </c>
      <c r="J74" s="7" t="s">
        <v>10</v>
      </c>
      <c r="K74" s="7" t="s">
        <v>11</v>
      </c>
      <c r="L74" s="7" t="s">
        <v>12</v>
      </c>
      <c r="M74" s="7" t="s">
        <v>13</v>
      </c>
      <c r="N74" s="8" t="s">
        <v>14</v>
      </c>
      <c r="O74" s="8" t="s">
        <v>15</v>
      </c>
    </row>
    <row r="75" spans="1:15" ht="15.5" x14ac:dyDescent="0.35">
      <c r="A75" s="22" t="s">
        <v>68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10">
        <f t="shared" si="7"/>
        <v>0</v>
      </c>
      <c r="O75" s="10">
        <f t="shared" ref="O75:O84" si="10">N75/COLUMNS(B75:M75)</f>
        <v>0</v>
      </c>
    </row>
    <row r="76" spans="1:15" ht="15.5" x14ac:dyDescent="0.35">
      <c r="A76" s="22" t="s">
        <v>69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0">
        <f t="shared" si="7"/>
        <v>0</v>
      </c>
      <c r="O76" s="10">
        <f t="shared" si="10"/>
        <v>0</v>
      </c>
    </row>
    <row r="77" spans="1:15" ht="15.5" x14ac:dyDescent="0.35">
      <c r="A77" s="22" t="s">
        <v>70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10">
        <f t="shared" si="7"/>
        <v>0</v>
      </c>
      <c r="O77" s="10">
        <f t="shared" si="10"/>
        <v>0</v>
      </c>
    </row>
    <row r="78" spans="1:15" ht="15.5" x14ac:dyDescent="0.35">
      <c r="A78" s="22" t="s">
        <v>71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10">
        <f t="shared" si="7"/>
        <v>0</v>
      </c>
      <c r="O78" s="10">
        <f t="shared" si="10"/>
        <v>0</v>
      </c>
    </row>
    <row r="79" spans="1:15" ht="15.5" x14ac:dyDescent="0.35">
      <c r="A79" s="22" t="s">
        <v>72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10">
        <f t="shared" si="7"/>
        <v>0</v>
      </c>
      <c r="O79" s="10">
        <f t="shared" si="10"/>
        <v>0</v>
      </c>
    </row>
    <row r="80" spans="1:15" ht="15.5" x14ac:dyDescent="0.35">
      <c r="A80" s="22" t="s">
        <v>73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10">
        <f t="shared" si="7"/>
        <v>0</v>
      </c>
      <c r="O80" s="10">
        <f t="shared" si="10"/>
        <v>0</v>
      </c>
    </row>
    <row r="81" spans="1:15" ht="15.5" x14ac:dyDescent="0.35">
      <c r="A81" s="22" t="s">
        <v>74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10">
        <f t="shared" si="7"/>
        <v>0</v>
      </c>
      <c r="O81" s="10">
        <f t="shared" si="10"/>
        <v>0</v>
      </c>
    </row>
    <row r="82" spans="1:15" ht="15.5" x14ac:dyDescent="0.35">
      <c r="A82" s="22" t="s">
        <v>75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10">
        <f t="shared" si="7"/>
        <v>0</v>
      </c>
      <c r="O82" s="10">
        <f t="shared" si="10"/>
        <v>0</v>
      </c>
    </row>
    <row r="83" spans="1:15" ht="15.5" x14ac:dyDescent="0.35">
      <c r="A83" s="22" t="s">
        <v>76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10">
        <f>SUM(B83:M83)</f>
        <v>0</v>
      </c>
      <c r="O83" s="10">
        <f>N83/COLUMNS(B83:M83)</f>
        <v>0</v>
      </c>
    </row>
    <row r="84" spans="1:15" ht="15.5" x14ac:dyDescent="0.35">
      <c r="A84" s="22" t="s">
        <v>77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10">
        <f t="shared" si="7"/>
        <v>0</v>
      </c>
      <c r="O84" s="10">
        <f t="shared" si="10"/>
        <v>0</v>
      </c>
    </row>
    <row r="85" spans="1:15" ht="15.5" x14ac:dyDescent="0.35">
      <c r="A85" s="22" t="s">
        <v>27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10">
        <f t="shared" si="7"/>
        <v>0</v>
      </c>
      <c r="O85" s="10">
        <f>N85/COLUMNS(B85:M85)</f>
        <v>0</v>
      </c>
    </row>
    <row r="86" spans="1:15" ht="15.5" x14ac:dyDescent="0.35">
      <c r="A86" s="24" t="str">
        <f>"Total " &amp; Table8[[#Headers],[ENTERTAINMENT]]</f>
        <v>Total ENTERTAINMENT</v>
      </c>
      <c r="B86" s="11">
        <f>SUBTOTAL(109,Table8[JAN])</f>
        <v>0</v>
      </c>
      <c r="C86" s="11">
        <f>SUBTOTAL(109,Table8[FEB])</f>
        <v>0</v>
      </c>
      <c r="D86" s="11">
        <f>SUBTOTAL(109,Table8[MAR])</f>
        <v>0</v>
      </c>
      <c r="E86" s="11">
        <f>SUBTOTAL(109,Table8[APR])</f>
        <v>0</v>
      </c>
      <c r="F86" s="11">
        <f>SUBTOTAL(109,Table8[MAY])</f>
        <v>0</v>
      </c>
      <c r="G86" s="11">
        <f>SUBTOTAL(109,Table8[JUN])</f>
        <v>0</v>
      </c>
      <c r="H86" s="11">
        <f>SUBTOTAL(109,Table8[JUL])</f>
        <v>0</v>
      </c>
      <c r="I86" s="11">
        <f>SUBTOTAL(109,Table8[AUG])</f>
        <v>0</v>
      </c>
      <c r="J86" s="11">
        <f>SUBTOTAL(109,Table8[SEP])</f>
        <v>0</v>
      </c>
      <c r="K86" s="11">
        <f>SUBTOTAL(109,Table8[OCT])</f>
        <v>0</v>
      </c>
      <c r="L86" s="11">
        <f>SUBTOTAL(109,Table8[NOV])</f>
        <v>0</v>
      </c>
      <c r="M86" s="11">
        <f>SUBTOTAL(109,Table8[DEC])</f>
        <v>0</v>
      </c>
      <c r="N86" s="12">
        <f>SUBTOTAL(109,Table8[Total])</f>
        <v>0</v>
      </c>
      <c r="O86" s="12">
        <f>Table8[[#Totals],[Total]]/COLUMNS(Table8[[#Totals],[JAN]:[DEC]])</f>
        <v>0</v>
      </c>
    </row>
    <row r="87" spans="1:15" ht="15.5" x14ac:dyDescent="0.35">
      <c r="A87" s="26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5"/>
      <c r="O87" s="15"/>
    </row>
    <row r="88" spans="1:15" ht="15" x14ac:dyDescent="0.35">
      <c r="A88" s="21" t="s">
        <v>78</v>
      </c>
      <c r="B88" s="7" t="s">
        <v>2</v>
      </c>
      <c r="C88" s="7" t="s">
        <v>3</v>
      </c>
      <c r="D88" s="7" t="s">
        <v>4</v>
      </c>
      <c r="E88" s="7" t="s">
        <v>5</v>
      </c>
      <c r="F88" s="7" t="s">
        <v>6</v>
      </c>
      <c r="G88" s="7" t="s">
        <v>7</v>
      </c>
      <c r="H88" s="7" t="s">
        <v>8</v>
      </c>
      <c r="I88" s="7" t="s">
        <v>9</v>
      </c>
      <c r="J88" s="7" t="s">
        <v>10</v>
      </c>
      <c r="K88" s="7" t="s">
        <v>11</v>
      </c>
      <c r="L88" s="7" t="s">
        <v>12</v>
      </c>
      <c r="M88" s="7" t="s">
        <v>13</v>
      </c>
      <c r="N88" s="8" t="s">
        <v>14</v>
      </c>
      <c r="O88" s="8" t="s">
        <v>15</v>
      </c>
    </row>
    <row r="89" spans="1:15" ht="15.5" x14ac:dyDescent="0.35">
      <c r="A89" s="22" t="s">
        <v>79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10">
        <f t="shared" si="7"/>
        <v>0</v>
      </c>
      <c r="O89" s="10">
        <f t="shared" ref="O89:O94" si="11">N89/COLUMNS(B89:M89)</f>
        <v>0</v>
      </c>
    </row>
    <row r="90" spans="1:15" ht="15.5" x14ac:dyDescent="0.35">
      <c r="A90" s="22" t="s">
        <v>80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10">
        <f t="shared" si="7"/>
        <v>0</v>
      </c>
      <c r="O90" s="10">
        <f t="shared" si="11"/>
        <v>0</v>
      </c>
    </row>
    <row r="91" spans="1:15" ht="15.5" x14ac:dyDescent="0.35">
      <c r="A91" s="22" t="s">
        <v>81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10">
        <f t="shared" si="7"/>
        <v>0</v>
      </c>
      <c r="O91" s="10">
        <f t="shared" si="11"/>
        <v>0</v>
      </c>
    </row>
    <row r="92" spans="1:15" ht="15.5" x14ac:dyDescent="0.35">
      <c r="A92" s="22" t="s">
        <v>82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10">
        <f t="shared" si="7"/>
        <v>0</v>
      </c>
      <c r="O92" s="10">
        <f t="shared" si="11"/>
        <v>0</v>
      </c>
    </row>
    <row r="93" spans="1:15" ht="15.5" x14ac:dyDescent="0.35">
      <c r="A93" s="22" t="s">
        <v>83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10">
        <f t="shared" si="7"/>
        <v>0</v>
      </c>
      <c r="O93" s="10">
        <f t="shared" si="11"/>
        <v>0</v>
      </c>
    </row>
    <row r="94" spans="1:15" ht="15.5" x14ac:dyDescent="0.35">
      <c r="A94" s="22" t="s">
        <v>27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10">
        <f t="shared" si="7"/>
        <v>0</v>
      </c>
      <c r="O94" s="10">
        <f t="shared" si="11"/>
        <v>0</v>
      </c>
    </row>
    <row r="95" spans="1:15" ht="15.5" x14ac:dyDescent="0.35">
      <c r="A95" s="24" t="str">
        <f>"Total " &amp;Table9[[#Headers],[SAVINGS]]</f>
        <v>Total SAVINGS</v>
      </c>
      <c r="B95" s="11">
        <f>SUBTOTAL(109,Table9[JAN])</f>
        <v>0</v>
      </c>
      <c r="C95" s="11">
        <f>SUBTOTAL(109,Table9[FEB])</f>
        <v>0</v>
      </c>
      <c r="D95" s="11">
        <f>SUBTOTAL(109,Table9[MAR])</f>
        <v>0</v>
      </c>
      <c r="E95" s="11">
        <f>SUBTOTAL(109,Table9[APR])</f>
        <v>0</v>
      </c>
      <c r="F95" s="11">
        <f>SUBTOTAL(109,Table9[MAY])</f>
        <v>0</v>
      </c>
      <c r="G95" s="11">
        <f>SUBTOTAL(109,Table9[JUN])</f>
        <v>0</v>
      </c>
      <c r="H95" s="11">
        <f>SUBTOTAL(109,Table9[JUL])</f>
        <v>0</v>
      </c>
      <c r="I95" s="11">
        <f>SUBTOTAL(109,Table9[AUG])</f>
        <v>0</v>
      </c>
      <c r="J95" s="11">
        <f>SUBTOTAL(109,Table9[SEP])</f>
        <v>0</v>
      </c>
      <c r="K95" s="11">
        <f>SUBTOTAL(109,Table9[OCT])</f>
        <v>0</v>
      </c>
      <c r="L95" s="11">
        <f>SUBTOTAL(109,Table9[NOV])</f>
        <v>0</v>
      </c>
      <c r="M95" s="11">
        <f>SUBTOTAL(109,Table9[DEC])</f>
        <v>0</v>
      </c>
      <c r="N95" s="12">
        <f>SUBTOTAL(109,Table9[Total])</f>
        <v>0</v>
      </c>
      <c r="O95" s="12">
        <f>Table9[[#Totals],[Total]]/COLUMNS(Table9[[#Totals],[JAN]:[DEC]])</f>
        <v>0</v>
      </c>
    </row>
    <row r="96" spans="1:15" ht="15.5" x14ac:dyDescent="0.35">
      <c r="A96" s="26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5"/>
      <c r="O96" s="15"/>
    </row>
    <row r="97" spans="1:15" ht="15" x14ac:dyDescent="0.35">
      <c r="A97" s="21" t="s">
        <v>84</v>
      </c>
      <c r="B97" s="7" t="s">
        <v>2</v>
      </c>
      <c r="C97" s="7" t="s">
        <v>3</v>
      </c>
      <c r="D97" s="7" t="s">
        <v>4</v>
      </c>
      <c r="E97" s="7" t="s">
        <v>5</v>
      </c>
      <c r="F97" s="7" t="s">
        <v>6</v>
      </c>
      <c r="G97" s="7" t="s">
        <v>7</v>
      </c>
      <c r="H97" s="7" t="s">
        <v>8</v>
      </c>
      <c r="I97" s="7" t="s">
        <v>9</v>
      </c>
      <c r="J97" s="7" t="s">
        <v>10</v>
      </c>
      <c r="K97" s="7" t="s">
        <v>11</v>
      </c>
      <c r="L97" s="7" t="s">
        <v>12</v>
      </c>
      <c r="M97" s="7" t="s">
        <v>13</v>
      </c>
      <c r="N97" s="8" t="s">
        <v>14</v>
      </c>
      <c r="O97" s="8" t="s">
        <v>15</v>
      </c>
    </row>
    <row r="98" spans="1:15" ht="15.5" x14ac:dyDescent="0.35">
      <c r="A98" s="22" t="s">
        <v>85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10">
        <f t="shared" ref="N98:N104" si="12">SUM(B98:M98)</f>
        <v>0</v>
      </c>
      <c r="O98" s="10">
        <f t="shared" ref="O98:O103" si="13">N98/COLUMNS(B98:M98)</f>
        <v>0</v>
      </c>
    </row>
    <row r="99" spans="1:15" ht="15.5" x14ac:dyDescent="0.35">
      <c r="A99" s="22" t="s">
        <v>86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10">
        <f t="shared" si="12"/>
        <v>0</v>
      </c>
      <c r="O99" s="10">
        <f t="shared" si="13"/>
        <v>0</v>
      </c>
    </row>
    <row r="100" spans="1:15" ht="15.5" x14ac:dyDescent="0.35">
      <c r="A100" s="22" t="s">
        <v>87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10">
        <f t="shared" si="12"/>
        <v>0</v>
      </c>
      <c r="O100" s="10">
        <f t="shared" si="13"/>
        <v>0</v>
      </c>
    </row>
    <row r="101" spans="1:15" ht="15.5" x14ac:dyDescent="0.35">
      <c r="A101" s="22" t="s">
        <v>88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10">
        <f t="shared" si="12"/>
        <v>0</v>
      </c>
      <c r="O101" s="10">
        <f t="shared" si="13"/>
        <v>0</v>
      </c>
    </row>
    <row r="102" spans="1:15" ht="15.5" x14ac:dyDescent="0.35">
      <c r="A102" s="22" t="s">
        <v>89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10">
        <f t="shared" si="12"/>
        <v>0</v>
      </c>
      <c r="O102" s="10">
        <f t="shared" si="13"/>
        <v>0</v>
      </c>
    </row>
    <row r="103" spans="1:15" ht="15.5" x14ac:dyDescent="0.35">
      <c r="A103" s="22" t="s">
        <v>90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10">
        <f t="shared" si="12"/>
        <v>0</v>
      </c>
      <c r="O103" s="10">
        <f t="shared" si="13"/>
        <v>0</v>
      </c>
    </row>
    <row r="104" spans="1:15" ht="15.5" x14ac:dyDescent="0.35">
      <c r="A104" s="22" t="s">
        <v>27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10">
        <f t="shared" si="12"/>
        <v>0</v>
      </c>
      <c r="O104" s="10">
        <f>N104/COLUMNS(B104:M104)</f>
        <v>0</v>
      </c>
    </row>
    <row r="105" spans="1:15" ht="15.5" x14ac:dyDescent="0.35">
      <c r="A105" s="24" t="str">
        <f>"Total " &amp; Table10[[#Headers],[OBLIGATIONS]]</f>
        <v>Total OBLIGATIONS</v>
      </c>
      <c r="B105" s="11">
        <f>SUBTOTAL(109,Table10[JAN])</f>
        <v>0</v>
      </c>
      <c r="C105" s="11">
        <f>SUBTOTAL(109,Table10[FEB])</f>
        <v>0</v>
      </c>
      <c r="D105" s="11">
        <f>SUBTOTAL(109,Table10[MAR])</f>
        <v>0</v>
      </c>
      <c r="E105" s="11">
        <f>SUBTOTAL(109,Table10[APR])</f>
        <v>0</v>
      </c>
      <c r="F105" s="11">
        <f>SUBTOTAL(109,Table10[MAY])</f>
        <v>0</v>
      </c>
      <c r="G105" s="11">
        <f>SUBTOTAL(109,Table10[JUN])</f>
        <v>0</v>
      </c>
      <c r="H105" s="11">
        <f>SUBTOTAL(109,Table10[JUL])</f>
        <v>0</v>
      </c>
      <c r="I105" s="11">
        <f>SUBTOTAL(109,Table10[AUG])</f>
        <v>0</v>
      </c>
      <c r="J105" s="11">
        <f>SUBTOTAL(109,Table10[SEP])</f>
        <v>0</v>
      </c>
      <c r="K105" s="11">
        <f>SUBTOTAL(109,Table10[OCT])</f>
        <v>0</v>
      </c>
      <c r="L105" s="11">
        <f>SUBTOTAL(109,Table10[NOV])</f>
        <v>0</v>
      </c>
      <c r="M105" s="11">
        <f>SUBTOTAL(109,Table10[DEC])</f>
        <v>0</v>
      </c>
      <c r="N105" s="12">
        <f>SUBTOTAL(109,Table10[Total])</f>
        <v>0</v>
      </c>
      <c r="O105" s="12">
        <f>Table10[[#Totals],[Total]]/COLUMNS(Table10[[#Totals],[JAN]:[DEC]])</f>
        <v>0</v>
      </c>
    </row>
    <row r="106" spans="1:15" ht="15.5" x14ac:dyDescent="0.35">
      <c r="A106" s="26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5"/>
      <c r="O106" s="15"/>
    </row>
    <row r="107" spans="1:15" ht="15" x14ac:dyDescent="0.35">
      <c r="A107" s="21" t="s">
        <v>91</v>
      </c>
      <c r="B107" s="7" t="s">
        <v>2</v>
      </c>
      <c r="C107" s="7" t="s">
        <v>3</v>
      </c>
      <c r="D107" s="7" t="s">
        <v>4</v>
      </c>
      <c r="E107" s="7" t="s">
        <v>5</v>
      </c>
      <c r="F107" s="7" t="s">
        <v>6</v>
      </c>
      <c r="G107" s="7" t="s">
        <v>7</v>
      </c>
      <c r="H107" s="7" t="s">
        <v>8</v>
      </c>
      <c r="I107" s="7" t="s">
        <v>9</v>
      </c>
      <c r="J107" s="7" t="s">
        <v>10</v>
      </c>
      <c r="K107" s="7" t="s">
        <v>11</v>
      </c>
      <c r="L107" s="7" t="s">
        <v>12</v>
      </c>
      <c r="M107" s="7" t="s">
        <v>13</v>
      </c>
      <c r="N107" s="8" t="s">
        <v>14</v>
      </c>
      <c r="O107" s="8" t="s">
        <v>15</v>
      </c>
    </row>
    <row r="108" spans="1:15" ht="15.5" x14ac:dyDescent="0.35">
      <c r="A108" s="22" t="s">
        <v>92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10">
        <f>SUM(B108:M108)</f>
        <v>0</v>
      </c>
      <c r="O108" s="10">
        <f>N108/COLUMNS(B108:M108)</f>
        <v>0</v>
      </c>
    </row>
    <row r="109" spans="1:15" ht="15.5" x14ac:dyDescent="0.35">
      <c r="A109" s="22" t="s">
        <v>93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10">
        <f>SUM(B109:M109)</f>
        <v>0</v>
      </c>
      <c r="O109" s="10">
        <f>N109/COLUMNS(B109:M109)</f>
        <v>0</v>
      </c>
    </row>
    <row r="110" spans="1:15" ht="15.5" x14ac:dyDescent="0.35">
      <c r="A110" s="22" t="s">
        <v>94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10">
        <f>SUM(B110:M110)</f>
        <v>0</v>
      </c>
      <c r="O110" s="10">
        <f>N110/COLUMNS(B110:M110)</f>
        <v>0</v>
      </c>
    </row>
    <row r="111" spans="1:15" ht="15.5" x14ac:dyDescent="0.35">
      <c r="A111" s="22" t="s">
        <v>27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10">
        <f>SUM(B111:M111)</f>
        <v>0</v>
      </c>
      <c r="O111" s="10">
        <f>N111/COLUMNS(B111:M111)</f>
        <v>0</v>
      </c>
    </row>
    <row r="112" spans="1:15" ht="15.5" x14ac:dyDescent="0.35">
      <c r="A112" s="24" t="str">
        <f>"Total " &amp;Table11[[#Headers],[SUBSCRIPTIONS]]</f>
        <v>Total SUBSCRIPTIONS</v>
      </c>
      <c r="B112" s="11">
        <f>SUBTOTAL(109,Table11[JAN])</f>
        <v>0</v>
      </c>
      <c r="C112" s="11">
        <f>SUBTOTAL(109,Table11[FEB])</f>
        <v>0</v>
      </c>
      <c r="D112" s="11">
        <f>SUBTOTAL(109,Table11[MAR])</f>
        <v>0</v>
      </c>
      <c r="E112" s="11">
        <f>SUBTOTAL(109,Table11[APR])</f>
        <v>0</v>
      </c>
      <c r="F112" s="11">
        <f>SUBTOTAL(109,Table11[MAY])</f>
        <v>0</v>
      </c>
      <c r="G112" s="11">
        <f>SUBTOTAL(109,Table11[JUN])</f>
        <v>0</v>
      </c>
      <c r="H112" s="11">
        <f>SUBTOTAL(109,Table11[JUL])</f>
        <v>0</v>
      </c>
      <c r="I112" s="11">
        <f>SUBTOTAL(109,Table11[AUG])</f>
        <v>0</v>
      </c>
      <c r="J112" s="11">
        <f>SUBTOTAL(109,Table11[SEP])</f>
        <v>0</v>
      </c>
      <c r="K112" s="11">
        <f>SUBTOTAL(109,Table11[OCT])</f>
        <v>0</v>
      </c>
      <c r="L112" s="11">
        <f>SUBTOTAL(109,Table11[NOV])</f>
        <v>0</v>
      </c>
      <c r="M112" s="11">
        <f>SUBTOTAL(109,Table11[DEC])</f>
        <v>0</v>
      </c>
      <c r="N112" s="12">
        <f>SUBTOTAL(109,Table11[Total])</f>
        <v>0</v>
      </c>
      <c r="O112" s="12">
        <f>Table11[[#Totals],[Total]]/COLUMNS(Table11[[#Totals],[JAN]:[DEC]])</f>
        <v>0</v>
      </c>
    </row>
    <row r="113" spans="1:15" ht="15.5" x14ac:dyDescent="0.35">
      <c r="A113" s="26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5"/>
      <c r="O113" s="15"/>
    </row>
    <row r="114" spans="1:15" ht="15" x14ac:dyDescent="0.35">
      <c r="A114" s="21" t="s">
        <v>95</v>
      </c>
      <c r="B114" s="7" t="s">
        <v>2</v>
      </c>
      <c r="C114" s="7" t="s">
        <v>3</v>
      </c>
      <c r="D114" s="7" t="s">
        <v>4</v>
      </c>
      <c r="E114" s="7" t="s">
        <v>5</v>
      </c>
      <c r="F114" s="7" t="s">
        <v>6</v>
      </c>
      <c r="G114" s="7" t="s">
        <v>7</v>
      </c>
      <c r="H114" s="7" t="s">
        <v>8</v>
      </c>
      <c r="I114" s="7" t="s">
        <v>9</v>
      </c>
      <c r="J114" s="7" t="s">
        <v>10</v>
      </c>
      <c r="K114" s="7" t="s">
        <v>11</v>
      </c>
      <c r="L114" s="7" t="s">
        <v>12</v>
      </c>
      <c r="M114" s="7" t="s">
        <v>13</v>
      </c>
      <c r="N114" s="8" t="s">
        <v>14</v>
      </c>
      <c r="O114" s="8" t="s">
        <v>15</v>
      </c>
    </row>
    <row r="115" spans="1:15" ht="15.5" x14ac:dyDescent="0.35">
      <c r="A115" s="22" t="s">
        <v>96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10">
        <f>SUM(B115:M115)</f>
        <v>0</v>
      </c>
      <c r="O115" s="10">
        <f>N115/COLUMNS(B115:M115)</f>
        <v>0</v>
      </c>
    </row>
    <row r="116" spans="1:15" ht="15.5" x14ac:dyDescent="0.35">
      <c r="A116" s="22" t="s">
        <v>97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10">
        <f>SUM(B116:M116)</f>
        <v>0</v>
      </c>
      <c r="O116" s="10">
        <f>N116/COLUMNS(B116:M116)</f>
        <v>0</v>
      </c>
    </row>
    <row r="117" spans="1:15" ht="15.5" x14ac:dyDescent="0.35">
      <c r="A117" s="22" t="s">
        <v>27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10">
        <f>SUM(B117:M117)</f>
        <v>0</v>
      </c>
      <c r="O117" s="10">
        <f>N117/COLUMNS(B117:M117)</f>
        <v>0</v>
      </c>
    </row>
    <row r="118" spans="1:15" ht="15.5" x14ac:dyDescent="0.35">
      <c r="A118" s="22" t="s">
        <v>27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0">
        <f>SUM(B118:M118)</f>
        <v>0</v>
      </c>
      <c r="O118" s="10">
        <f>N118/COLUMNS(B118:M118)</f>
        <v>0</v>
      </c>
    </row>
    <row r="119" spans="1:15" ht="15.5" x14ac:dyDescent="0.35">
      <c r="A119" s="24" t="str">
        <f>"Total " &amp;Table12[[#Headers],[MISCELLANEOUS]]</f>
        <v>Total MISCELLANEOUS</v>
      </c>
      <c r="B119" s="11">
        <f>SUBTOTAL(109,Table12[JAN])</f>
        <v>0</v>
      </c>
      <c r="C119" s="11">
        <f>SUBTOTAL(109,Table12[FEB])</f>
        <v>0</v>
      </c>
      <c r="D119" s="11">
        <f>SUBTOTAL(109,Table12[MAR])</f>
        <v>0</v>
      </c>
      <c r="E119" s="11">
        <f>SUBTOTAL(109,Table12[APR])</f>
        <v>0</v>
      </c>
      <c r="F119" s="11">
        <f>SUBTOTAL(109,Table12[MAY])</f>
        <v>0</v>
      </c>
      <c r="G119" s="11">
        <f>SUBTOTAL(109,Table12[JUN])</f>
        <v>0</v>
      </c>
      <c r="H119" s="11">
        <f>SUBTOTAL(109,Table12[JUL])</f>
        <v>0</v>
      </c>
      <c r="I119" s="11">
        <f>SUBTOTAL(109,Table12[AUG])</f>
        <v>0</v>
      </c>
      <c r="J119" s="11">
        <f>SUBTOTAL(109,Table12[SEP])</f>
        <v>0</v>
      </c>
      <c r="K119" s="11">
        <f>SUBTOTAL(109,Table12[OCT])</f>
        <v>0</v>
      </c>
      <c r="L119" s="11">
        <f>SUBTOTAL(109,Table12[NOV])</f>
        <v>0</v>
      </c>
      <c r="M119" s="11">
        <f>SUBTOTAL(109,Table12[DEC])</f>
        <v>0</v>
      </c>
      <c r="N119" s="12">
        <f>SUBTOTAL(109,Table12[Total])</f>
        <v>0</v>
      </c>
      <c r="O119" s="12">
        <f>Table12[[#Totals],[Total]]/COLUMNS(Table12[[#Totals],[JAN]:[DEC]])</f>
        <v>0</v>
      </c>
    </row>
  </sheetData>
  <dataConsolidate>
    <dataRefs count="1">
      <dataRef name="circular"/>
    </dataRefs>
  </dataConsolidate>
  <mergeCells count="1">
    <mergeCell ref="A1:O1"/>
  </mergeCells>
  <pageMargins left="0.7" right="0.7" top="0.75" bottom="0.75" header="0.3" footer="0.3"/>
  <pageSetup orientation="portrait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2023-10-23T23:06:38Z</dcterms:created>
  <dcterms:modified xsi:type="dcterms:W3CDTF">2023-10-26T06:42:20Z</dcterms:modified>
</cp:coreProperties>
</file>